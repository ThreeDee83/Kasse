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bias\Desktop\"/>
    </mc:Choice>
  </mc:AlternateContent>
  <xr:revisionPtr revIDLastSave="0" documentId="13_ncr:1_{D9F029CF-04C7-48D7-809E-E3A603A67ABF}" xr6:coauthVersionLast="47" xr6:coauthVersionMax="47" xr10:uidLastSave="{00000000-0000-0000-0000-000000000000}"/>
  <bookViews>
    <workbookView xWindow="-109" yWindow="-109" windowWidth="34995" windowHeight="19060" activeTab="1" xr2:uid="{CDDD0C9A-0363-43BE-9938-50D093382BF0}"/>
  </bookViews>
  <sheets>
    <sheet name="Erster Tag (2€)" sheetId="10" r:id="rId1"/>
    <sheet name="Vorlage normal" sheetId="8" r:id="rId2"/>
    <sheet name="Vorlage 2€" sheetId="7" r:id="rId3"/>
    <sheet name="Preise normal" sheetId="6" r:id="rId4"/>
    <sheet name="Preise 2€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0" l="1"/>
  <c r="J14" i="10"/>
  <c r="B15" i="10"/>
  <c r="J15" i="10"/>
  <c r="B14" i="8"/>
  <c r="J14" i="8"/>
  <c r="B15" i="8"/>
  <c r="J15" i="8"/>
  <c r="B14" i="7"/>
  <c r="J14" i="7"/>
  <c r="B15" i="7"/>
  <c r="J15" i="7"/>
  <c r="J44" i="10"/>
  <c r="B44" i="10"/>
  <c r="J43" i="10"/>
  <c r="B43" i="10"/>
  <c r="J42" i="10"/>
  <c r="B42" i="10"/>
  <c r="J41" i="10"/>
  <c r="B41" i="10"/>
  <c r="J40" i="10"/>
  <c r="B40" i="10"/>
  <c r="J39" i="10"/>
  <c r="B39" i="10"/>
  <c r="J38" i="10"/>
  <c r="B38" i="10"/>
  <c r="J37" i="10"/>
  <c r="B37" i="10"/>
  <c r="J36" i="10"/>
  <c r="B36" i="10"/>
  <c r="J35" i="10"/>
  <c r="B35" i="10"/>
  <c r="J34" i="10"/>
  <c r="B34" i="10"/>
  <c r="J33" i="10"/>
  <c r="B33" i="10"/>
  <c r="J32" i="10"/>
  <c r="B32" i="10"/>
  <c r="J31" i="10"/>
  <c r="B31" i="10"/>
  <c r="J30" i="10"/>
  <c r="B30" i="10"/>
  <c r="J29" i="10"/>
  <c r="B29" i="10"/>
  <c r="J28" i="10"/>
  <c r="B28" i="10"/>
  <c r="J27" i="10"/>
  <c r="B27" i="10"/>
  <c r="J26" i="10"/>
  <c r="B26" i="10"/>
  <c r="J25" i="10"/>
  <c r="B25" i="10"/>
  <c r="J24" i="10"/>
  <c r="B24" i="10"/>
  <c r="J23" i="10"/>
  <c r="B23" i="10"/>
  <c r="J22" i="10"/>
  <c r="B22" i="10"/>
  <c r="J21" i="10"/>
  <c r="B21" i="10"/>
  <c r="J20" i="10"/>
  <c r="B20" i="10"/>
  <c r="J19" i="10"/>
  <c r="B19" i="10"/>
  <c r="J18" i="10"/>
  <c r="B18" i="10"/>
  <c r="J17" i="10"/>
  <c r="B17" i="10"/>
  <c r="J16" i="10"/>
  <c r="B16" i="10"/>
  <c r="J13" i="10"/>
  <c r="B13" i="10"/>
  <c r="J12" i="10"/>
  <c r="B12" i="10"/>
  <c r="J11" i="10"/>
  <c r="B11" i="10"/>
  <c r="J10" i="10"/>
  <c r="B10" i="10"/>
  <c r="J9" i="10"/>
  <c r="B9" i="10"/>
  <c r="J8" i="10"/>
  <c r="B8" i="10"/>
  <c r="J7" i="10"/>
  <c r="B7" i="10"/>
  <c r="J6" i="10"/>
  <c r="B6" i="10"/>
  <c r="J5" i="10"/>
  <c r="B5" i="10"/>
  <c r="J4" i="10"/>
  <c r="B4" i="10"/>
  <c r="J3" i="10"/>
  <c r="B3" i="10"/>
  <c r="J2" i="10"/>
  <c r="B2" i="10"/>
  <c r="B3" i="7"/>
  <c r="B4" i="7"/>
  <c r="B5" i="7"/>
  <c r="B6" i="7"/>
  <c r="B7" i="7"/>
  <c r="B8" i="7"/>
  <c r="B9" i="7"/>
  <c r="B10" i="7"/>
  <c r="B11" i="7"/>
  <c r="B12" i="7"/>
  <c r="B13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2" i="7"/>
  <c r="B3" i="8"/>
  <c r="B4" i="8"/>
  <c r="B5" i="8"/>
  <c r="B6" i="8"/>
  <c r="B7" i="8"/>
  <c r="B8" i="8"/>
  <c r="B9" i="8"/>
  <c r="B10" i="8"/>
  <c r="B11" i="8"/>
  <c r="B12" i="8"/>
  <c r="B13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2" i="8"/>
  <c r="J3" i="8"/>
  <c r="J4" i="8"/>
  <c r="J5" i="8"/>
  <c r="J6" i="8"/>
  <c r="J7" i="8"/>
  <c r="J8" i="8"/>
  <c r="J9" i="8"/>
  <c r="J10" i="8"/>
  <c r="J11" i="8"/>
  <c r="J12" i="8"/>
  <c r="J13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2" i="8"/>
  <c r="J3" i="7"/>
  <c r="J4" i="7"/>
  <c r="J5" i="7"/>
  <c r="J6" i="7"/>
  <c r="J7" i="7"/>
  <c r="J8" i="7"/>
  <c r="J9" i="7"/>
  <c r="J10" i="7"/>
  <c r="J11" i="7"/>
  <c r="J12" i="7"/>
  <c r="J13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2" i="7"/>
  <c r="I45" i="10"/>
  <c r="E46" i="10"/>
  <c r="I45" i="8"/>
  <c r="E46" i="8"/>
  <c r="I45" i="7"/>
  <c r="E46" i="7"/>
</calcChain>
</file>

<file path=xl/sharedStrings.xml><?xml version="1.0" encoding="utf-8"?>
<sst xmlns="http://schemas.openxmlformats.org/spreadsheetml/2006/main" count="214" uniqueCount="58">
  <si>
    <t>Punsch</t>
  </si>
  <si>
    <t>Jubi Punsch</t>
  </si>
  <si>
    <t>Kinderpunsch</t>
  </si>
  <si>
    <t>Knusperpunsch</t>
  </si>
  <si>
    <t>Turbopunsch</t>
  </si>
  <si>
    <t>Teufelspunsch</t>
  </si>
  <si>
    <t>Glögg</t>
  </si>
  <si>
    <t>Glühmost</t>
  </si>
  <si>
    <t>Glühwein</t>
  </si>
  <si>
    <t>Zipfer 0,3</t>
  </si>
  <si>
    <t>Stiegl 0,3</t>
  </si>
  <si>
    <t>Spritzer weiß</t>
  </si>
  <si>
    <t xml:space="preserve">Coca Cola </t>
  </si>
  <si>
    <t>Kindergetränk</t>
  </si>
  <si>
    <t>Mineral</t>
  </si>
  <si>
    <t>Kaffee</t>
  </si>
  <si>
    <t>Tee</t>
  </si>
  <si>
    <t>Winterzauber</t>
  </si>
  <si>
    <t>Himbeere</t>
  </si>
  <si>
    <t>Marille</t>
  </si>
  <si>
    <t>Zirben</t>
  </si>
  <si>
    <t>Williams</t>
  </si>
  <si>
    <t>Ossis Feuerwasser</t>
  </si>
  <si>
    <t>Hänsel &amp; Gretel</t>
  </si>
  <si>
    <t>Jägermeister</t>
  </si>
  <si>
    <t>Rum</t>
  </si>
  <si>
    <t>Gaudibrettl 10er</t>
  </si>
  <si>
    <t xml:space="preserve">Gaudibrettl 6er </t>
  </si>
  <si>
    <t>Bratwürstel 2er</t>
  </si>
  <si>
    <t>Bratwürstel 3er</t>
  </si>
  <si>
    <t>Bosna klein</t>
  </si>
  <si>
    <t>Bosna groß</t>
  </si>
  <si>
    <t>falsche Bosna</t>
  </si>
  <si>
    <t>Bauernkrapfen/Marmelade</t>
  </si>
  <si>
    <t>Bauernkrapfen/Sauerkraut</t>
  </si>
  <si>
    <t>Bauernkrapfen/Beeren</t>
  </si>
  <si>
    <t>Gebrannte Mandeln</t>
  </si>
  <si>
    <t>Knacker</t>
  </si>
  <si>
    <t>Würstel extra</t>
  </si>
  <si>
    <t>Semmerl extra</t>
  </si>
  <si>
    <t>Bosnaweckerl</t>
  </si>
  <si>
    <t>Gesamt</t>
  </si>
  <si>
    <t>Verkauft</t>
  </si>
  <si>
    <t>der 13.</t>
  </si>
  <si>
    <t>Haus</t>
  </si>
  <si>
    <t>Kunde</t>
  </si>
  <si>
    <t>Bruch</t>
  </si>
  <si>
    <t>Würfel</t>
  </si>
  <si>
    <t>Künstler</t>
  </si>
  <si>
    <t>Bargeld</t>
  </si>
  <si>
    <t>Datum</t>
  </si>
  <si>
    <t>Artikel</t>
  </si>
  <si>
    <t>Preis</t>
  </si>
  <si>
    <t>Gesamt:</t>
  </si>
  <si>
    <t>Kassenstand:</t>
  </si>
  <si>
    <t>Differenz:</t>
  </si>
  <si>
    <t>Vintonic Classic</t>
  </si>
  <si>
    <t>Vintonic Rosè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</si>
</sst>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b/>
      <sz val="8"/>
      <color indexed="8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3" fillId="0" borderId="0" xfId="0" applyNumberFormat="1" applyFont="1" applyAlignment="1">
      <alignment vertical="top"/>
    </xf>
    <xf numFmtId="0" fontId="2" fillId="0" borderId="0" xfId="0" applyFont="1"/>
    <xf numFmtId="14" fontId="2" fillId="3" borderId="0" xfId="0" applyNumberFormat="1" applyFont="1" applyFill="1" applyAlignment="1">
      <alignment horizontal="center" vertical="center"/>
    </xf>
    <xf numFmtId="49" fontId="5" fillId="0" borderId="1" xfId="0" applyNumberFormat="1" applyFont="1" applyBorder="1" applyAlignment="1">
      <alignment vertical="center"/>
    </xf>
    <xf numFmtId="49" fontId="5" fillId="2" borderId="1" xfId="0" applyNumberFormat="1" applyFont="1" applyFill="1" applyBorder="1" applyAlignment="1">
      <alignment vertical="center"/>
    </xf>
    <xf numFmtId="14" fontId="4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4" fontId="6" fillId="3" borderId="0" xfId="0" applyNumberFormat="1" applyFont="1" applyFill="1" applyAlignment="1">
      <alignment horizontal="right" vertical="center"/>
    </xf>
    <xf numFmtId="164" fontId="1" fillId="0" borderId="0" xfId="0" applyNumberFormat="1" applyFont="1" applyAlignment="1">
      <alignment horizontal="left" vertical="center"/>
    </xf>
  </cellXfs>
  <cellStyles count="1">
    <cellStyle name="Standard" xfId="0" builtinId="0"/>
  </cellStyles>
  <dxfs count="102"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indexed="8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4B831A-D079-40C5-8F79-A9B177BD49ED}" name="Tabelle147" displayName="Tabelle147" ref="A1:J44" headerRowCount="0" headerRowDxfId="69" dataDxfId="68">
  <tableColumns count="10">
    <tableColumn id="1" xr3:uid="{C64018DA-6C29-4035-AA88-1681EF2427C9}" name="Spalte1" totalsRowLabel="Ergebnis" headerRowDxfId="67" dataDxfId="66" totalsRowDxfId="65"/>
    <tableColumn id="2" xr3:uid="{9AA6DAB2-8189-484B-A8EA-8F6746D91B86}" name="Spalte2" headerRowDxfId="64" dataDxfId="63" totalsRowDxfId="62"/>
    <tableColumn id="3" xr3:uid="{4CD0F6AA-7010-4104-8461-F6B94192F8B3}" name="Spalte3" headerRowDxfId="61" dataDxfId="60" totalsRowDxfId="59"/>
    <tableColumn id="4" xr3:uid="{77683EC8-0121-424E-9346-4CEC7DBB3D65}" name="Spalte4" headerRowDxfId="58" dataDxfId="57" totalsRowDxfId="56"/>
    <tableColumn id="5" xr3:uid="{B1BEC44E-5C98-48D4-9086-2CFF0C695B78}" name="Spalte5" headerRowDxfId="55" dataDxfId="54" totalsRowDxfId="53"/>
    <tableColumn id="6" xr3:uid="{978E3C9B-5A02-48A1-A463-BFDEAD2F138D}" name="Spalte6" headerRowDxfId="52" dataDxfId="51" totalsRowDxfId="50"/>
    <tableColumn id="7" xr3:uid="{326E7BA6-C5E6-4319-8A66-806FFF60548B}" name="Spalte7" headerRowDxfId="49" dataDxfId="48" totalsRowDxfId="47"/>
    <tableColumn id="8" xr3:uid="{24A0C168-CA92-49A4-AB40-60F6AE787020}" name="Spalte8" headerRowDxfId="46" dataDxfId="45" totalsRowDxfId="44"/>
    <tableColumn id="9" xr3:uid="{BB822F98-8F18-4623-AE4F-D05977536157}" name="Spalte9" headerRowDxfId="43" dataDxfId="42" totalsRowDxfId="41"/>
    <tableColumn id="10" xr3:uid="{0C087015-58D9-4402-8FCE-084C6C102282}" name="Spalte10" totalsRowFunction="count" headerRowDxfId="40" dataDxfId="39" totalsRowDxfId="38"/>
  </tableColumns>
  <tableStyleInfo name="TableStyleLight20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26A419-5246-4ED0-90D3-859CBDAB13A8}" name="Tabelle145" displayName="Tabelle145" ref="A1:J44" headerRowCount="0" headerRowDxfId="101" dataDxfId="100">
  <tableColumns count="10">
    <tableColumn id="1" xr3:uid="{237A9922-521D-42E1-BEC7-39C77E9FE73B}" name="Spalte1" totalsRowLabel="Ergebnis" headerRowDxfId="99" dataDxfId="98" totalsRowDxfId="97"/>
    <tableColumn id="2" xr3:uid="{DE56D7D5-CAE4-4CED-A6B0-E6A40BE00D40}" name="Spalte2" headerRowDxfId="96" dataDxfId="95" totalsRowDxfId="94"/>
    <tableColumn id="3" xr3:uid="{B2CEE2B2-455E-42A5-B546-D44898D56EF6}" name="Spalte3" headerRowDxfId="93" dataDxfId="92" totalsRowDxfId="91"/>
    <tableColumn id="4" xr3:uid="{8BF9DA2F-49C2-4A83-893F-82E250E23395}" name="Spalte4" headerRowDxfId="90" dataDxfId="89" totalsRowDxfId="88"/>
    <tableColumn id="5" xr3:uid="{6BF8B3D2-CB18-4448-9E6F-58EA69E03855}" name="Spalte5" headerRowDxfId="87" dataDxfId="86" totalsRowDxfId="85"/>
    <tableColumn id="6" xr3:uid="{A1BD0161-34D6-4BFC-8F75-166795F306E4}" name="Spalte6" headerRowDxfId="84" dataDxfId="83" totalsRowDxfId="82"/>
    <tableColumn id="7" xr3:uid="{A14118E3-3A98-4988-94DF-DD223EDAB432}" name="Spalte7" headerRowDxfId="81" dataDxfId="80" totalsRowDxfId="79"/>
    <tableColumn id="8" xr3:uid="{9004E6CB-392D-4777-A84C-17A27C3B7919}" name="Spalte8" headerRowDxfId="78" dataDxfId="77" totalsRowDxfId="76"/>
    <tableColumn id="9" xr3:uid="{D10162DD-A32E-40D1-9DF0-F65292383880}" name="Spalte9" headerRowDxfId="75" dataDxfId="74" totalsRowDxfId="73"/>
    <tableColumn id="10" xr3:uid="{C6489C62-64EA-4981-867B-29E8C68BEE3E}" name="Spalte10" totalsRowFunction="count" headerRowDxfId="72" dataDxfId="71" totalsRowDxfId="70"/>
  </tableColumns>
  <tableStyleInfo name="TableStyleLight20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C22210-2625-41DB-A898-AFF599203755}" name="Tabelle14" displayName="Tabelle14" ref="A1:J44" headerRowCount="0" headerRowDxfId="37" dataDxfId="36">
  <tableColumns count="10">
    <tableColumn id="1" xr3:uid="{2129101F-E94F-4FA1-A849-8A3172E463D9}" name="Spalte1" totalsRowLabel="Ergebnis" headerRowDxfId="35" dataDxfId="34" totalsRowDxfId="33"/>
    <tableColumn id="2" xr3:uid="{6DA40412-7D58-40C2-824B-9CD095D6BB6F}" name="Spalte2" headerRowDxfId="32" dataDxfId="31" totalsRowDxfId="30"/>
    <tableColumn id="3" xr3:uid="{2ABD5F41-0CA5-41DF-8E2D-4F768407C0B8}" name="Spalte3" headerRowDxfId="29" dataDxfId="28" totalsRowDxfId="27"/>
    <tableColumn id="4" xr3:uid="{61C4FF7F-B43A-45CB-A029-2389D76A0548}" name="Spalte4" headerRowDxfId="26" dataDxfId="25" totalsRowDxfId="24"/>
    <tableColumn id="5" xr3:uid="{E5674849-8757-4B43-A9B8-53618C647BDA}" name="Spalte5" headerRowDxfId="23" dataDxfId="22" totalsRowDxfId="21"/>
    <tableColumn id="6" xr3:uid="{3062D909-2B46-461D-A851-2F740324A794}" name="Spalte6" headerRowDxfId="20" dataDxfId="19" totalsRowDxfId="18"/>
    <tableColumn id="7" xr3:uid="{DAF6C75D-E108-4DAB-BC13-78815809DC07}" name="Spalte7" headerRowDxfId="17" dataDxfId="16" totalsRowDxfId="15"/>
    <tableColumn id="8" xr3:uid="{2E4C815D-3D25-40D4-8609-841CAEC2D8E3}" name="Spalte8" headerRowDxfId="14" dataDxfId="13" totalsRowDxfId="12"/>
    <tableColumn id="9" xr3:uid="{FB307E09-3D0D-47DF-AC0B-6036B8F3809F}" name="Spalte9" headerRowDxfId="11" dataDxfId="10" totalsRowDxfId="9"/>
    <tableColumn id="10" xr3:uid="{442F9A4F-154C-41A3-A9BB-CB130A67A2A2}" name="Spalte10" totalsRowFunction="count" headerRowDxfId="8" dataDxfId="7" totalsRowDxfId="6"/>
  </tableColumns>
  <tableStyleInfo name="TableStyleLight20" showFirstColumn="1" showLastColumn="1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3FD4-92CC-45C7-BF8C-6EF7E2A65CE5}">
  <dimension ref="A1:J81"/>
  <sheetViews>
    <sheetView zoomScale="115" zoomScaleNormal="90" zoomScalePageLayoutView="115" workbookViewId="0">
      <selection activeCell="H52" sqref="H52"/>
    </sheetView>
  </sheetViews>
  <sheetFormatPr baseColWidth="10" defaultColWidth="11.375" defaultRowHeight="18.7" customHeight="1" x14ac:dyDescent="0.2"/>
  <cols>
    <col min="1" max="1" width="20.5" style="5" customWidth="1"/>
    <col min="2" max="10" width="8.625" style="5" customWidth="1"/>
    <col min="11" max="16384" width="11.375" style="5"/>
  </cols>
  <sheetData>
    <row r="1" spans="1:10" s="3" customFormat="1" ht="18" customHeight="1" x14ac:dyDescent="0.25">
      <c r="A1" s="6">
        <v>44503</v>
      </c>
      <c r="B1" s="1" t="s">
        <v>41</v>
      </c>
      <c r="C1" s="1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 s="3" customFormat="1" ht="18" customHeight="1" x14ac:dyDescent="0.25">
      <c r="A2" s="2" t="s">
        <v>0</v>
      </c>
      <c r="B2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2" s="13"/>
      <c r="D2" s="12"/>
      <c r="E2" s="12"/>
      <c r="F2" s="12"/>
      <c r="G2" s="12"/>
      <c r="H2" s="12"/>
      <c r="I2" s="12"/>
      <c r="J2" s="14">
        <f>Tabelle147[[#This Row],[Spalte3]]*'Preise 2€'!B2</f>
        <v>0</v>
      </c>
    </row>
    <row r="3" spans="1:10" s="3" customFormat="1" ht="18" customHeight="1" x14ac:dyDescent="0.25">
      <c r="A3" s="2" t="s">
        <v>1</v>
      </c>
      <c r="B3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3" s="13"/>
      <c r="D3" s="12"/>
      <c r="E3" s="12"/>
      <c r="F3" s="12"/>
      <c r="G3" s="12"/>
      <c r="H3" s="12"/>
      <c r="I3" s="12"/>
      <c r="J3" s="14">
        <f>Tabelle147[[#This Row],[Spalte3]]*'Preise 2€'!B3</f>
        <v>0</v>
      </c>
    </row>
    <row r="4" spans="1:10" s="3" customFormat="1" ht="18" customHeight="1" x14ac:dyDescent="0.25">
      <c r="A4" s="2" t="s">
        <v>2</v>
      </c>
      <c r="B4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4" s="13"/>
      <c r="D4" s="12"/>
      <c r="E4" s="12"/>
      <c r="F4" s="12"/>
      <c r="G4" s="12"/>
      <c r="H4" s="12"/>
      <c r="I4" s="12"/>
      <c r="J4" s="14">
        <f>Tabelle147[[#This Row],[Spalte3]]*'Preise 2€'!B4</f>
        <v>0</v>
      </c>
    </row>
    <row r="5" spans="1:10" s="3" customFormat="1" ht="18" customHeight="1" x14ac:dyDescent="0.25">
      <c r="A5" s="2" t="s">
        <v>3</v>
      </c>
      <c r="B5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5" s="13"/>
      <c r="D5" s="12"/>
      <c r="E5" s="12"/>
      <c r="F5" s="12"/>
      <c r="G5" s="12"/>
      <c r="H5" s="12"/>
      <c r="I5" s="12"/>
      <c r="J5" s="14">
        <f>Tabelle147[[#This Row],[Spalte3]]*'Preise 2€'!B5</f>
        <v>0</v>
      </c>
    </row>
    <row r="6" spans="1:10" s="3" customFormat="1" ht="18" customHeight="1" x14ac:dyDescent="0.25">
      <c r="A6" s="2" t="s">
        <v>4</v>
      </c>
      <c r="B6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6" s="13"/>
      <c r="D6" s="12"/>
      <c r="E6" s="12"/>
      <c r="F6" s="12"/>
      <c r="G6" s="12"/>
      <c r="H6" s="12"/>
      <c r="I6" s="12"/>
      <c r="J6" s="14">
        <f>Tabelle147[[#This Row],[Spalte3]]*'Preise 2€'!B6</f>
        <v>0</v>
      </c>
    </row>
    <row r="7" spans="1:10" s="3" customFormat="1" ht="18" customHeight="1" x14ac:dyDescent="0.25">
      <c r="A7" s="2" t="s">
        <v>5</v>
      </c>
      <c r="B7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7" s="13"/>
      <c r="D7" s="12"/>
      <c r="E7" s="12"/>
      <c r="F7" s="12"/>
      <c r="G7" s="12"/>
      <c r="H7" s="12"/>
      <c r="I7" s="12"/>
      <c r="J7" s="14">
        <f>Tabelle147[[#This Row],[Spalte3]]*'Preise 2€'!B7</f>
        <v>0</v>
      </c>
    </row>
    <row r="8" spans="1:10" s="3" customFormat="1" ht="18" customHeight="1" x14ac:dyDescent="0.25">
      <c r="A8" s="2" t="s">
        <v>6</v>
      </c>
      <c r="B8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8" s="13"/>
      <c r="D8" s="12"/>
      <c r="E8" s="12"/>
      <c r="F8" s="12"/>
      <c r="G8" s="12"/>
      <c r="H8" s="12"/>
      <c r="I8" s="12"/>
      <c r="J8" s="14">
        <f>Tabelle147[[#This Row],[Spalte3]]*'Preise 2€'!B8</f>
        <v>0</v>
      </c>
    </row>
    <row r="9" spans="1:10" s="3" customFormat="1" ht="18" customHeight="1" x14ac:dyDescent="0.25">
      <c r="A9" s="2" t="s">
        <v>7</v>
      </c>
      <c r="B9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9" s="13"/>
      <c r="D9" s="12"/>
      <c r="E9" s="12"/>
      <c r="F9" s="12"/>
      <c r="G9" s="12"/>
      <c r="H9" s="12"/>
      <c r="I9" s="12"/>
      <c r="J9" s="14">
        <f>Tabelle147[[#This Row],[Spalte3]]*'Preise 2€'!B9</f>
        <v>0</v>
      </c>
    </row>
    <row r="10" spans="1:10" s="3" customFormat="1" ht="18" customHeight="1" x14ac:dyDescent="0.25">
      <c r="A10" s="2" t="s">
        <v>8</v>
      </c>
      <c r="B10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10" s="13"/>
      <c r="D10" s="12"/>
      <c r="E10" s="12"/>
      <c r="F10" s="12"/>
      <c r="G10" s="12"/>
      <c r="H10" s="12"/>
      <c r="I10" s="12"/>
      <c r="J10" s="14">
        <f>Tabelle147[[#This Row],[Spalte3]]*'Preise 2€'!B10</f>
        <v>0</v>
      </c>
    </row>
    <row r="11" spans="1:10" s="3" customFormat="1" ht="18" customHeight="1" x14ac:dyDescent="0.25">
      <c r="A11" s="2" t="s">
        <v>9</v>
      </c>
      <c r="B11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11" s="13"/>
      <c r="D11" s="12"/>
      <c r="E11" s="12"/>
      <c r="F11" s="12"/>
      <c r="G11" s="12"/>
      <c r="H11" s="12"/>
      <c r="I11" s="12"/>
      <c r="J11" s="14">
        <f>Tabelle147[[#This Row],[Spalte3]]*'Preise 2€'!B11</f>
        <v>0</v>
      </c>
    </row>
    <row r="12" spans="1:10" s="3" customFormat="1" ht="18" customHeight="1" x14ac:dyDescent="0.25">
      <c r="A12" s="2" t="s">
        <v>10</v>
      </c>
      <c r="B12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12" s="13"/>
      <c r="D12" s="12"/>
      <c r="E12" s="12"/>
      <c r="F12" s="12"/>
      <c r="G12" s="12"/>
      <c r="H12" s="12"/>
      <c r="I12" s="12"/>
      <c r="J12" s="14">
        <f>Tabelle147[[#This Row],[Spalte3]]*'Preise 2€'!B12</f>
        <v>0</v>
      </c>
    </row>
    <row r="13" spans="1:10" s="3" customFormat="1" ht="18" customHeight="1" x14ac:dyDescent="0.25">
      <c r="A13" s="2" t="s">
        <v>11</v>
      </c>
      <c r="B13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13" s="13"/>
      <c r="D13" s="12"/>
      <c r="E13" s="12"/>
      <c r="F13" s="12"/>
      <c r="G13" s="12"/>
      <c r="H13" s="12"/>
      <c r="I13" s="12"/>
      <c r="J13" s="14">
        <f>Tabelle147[[#This Row],[Spalte3]]*'Preise 2€'!B13</f>
        <v>0</v>
      </c>
    </row>
    <row r="14" spans="1:10" s="3" customFormat="1" ht="18" customHeight="1" x14ac:dyDescent="0.25">
      <c r="A14" s="2" t="s">
        <v>56</v>
      </c>
      <c r="B14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14" s="13"/>
      <c r="D14" s="12"/>
      <c r="E14" s="12"/>
      <c r="F14" s="12"/>
      <c r="G14" s="12"/>
      <c r="H14" s="12"/>
      <c r="I14" s="12"/>
      <c r="J14" s="14">
        <f>Tabelle147[[#This Row],[Spalte3]]*'Preise 2€'!B14</f>
        <v>0</v>
      </c>
    </row>
    <row r="15" spans="1:10" s="3" customFormat="1" ht="18" customHeight="1" x14ac:dyDescent="0.25">
      <c r="A15" s="2" t="s">
        <v>57</v>
      </c>
      <c r="B15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15" s="13"/>
      <c r="D15" s="12"/>
      <c r="E15" s="12"/>
      <c r="F15" s="12"/>
      <c r="G15" s="12"/>
      <c r="H15" s="12"/>
      <c r="I15" s="12"/>
      <c r="J15" s="14">
        <f>Tabelle147[[#This Row],[Spalte3]]*'Preise 2€'!B15</f>
        <v>0</v>
      </c>
    </row>
    <row r="16" spans="1:10" s="3" customFormat="1" ht="18" customHeight="1" x14ac:dyDescent="0.25">
      <c r="A16" s="2" t="s">
        <v>12</v>
      </c>
      <c r="B16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16" s="13"/>
      <c r="D16" s="12"/>
      <c r="E16" s="12"/>
      <c r="F16" s="12"/>
      <c r="G16" s="12"/>
      <c r="H16" s="12"/>
      <c r="I16" s="12"/>
      <c r="J16" s="14">
        <f>Tabelle147[[#This Row],[Spalte3]]*'Preise 2€'!B16</f>
        <v>0</v>
      </c>
    </row>
    <row r="17" spans="1:10" s="3" customFormat="1" ht="18" customHeight="1" x14ac:dyDescent="0.25">
      <c r="A17" s="2" t="s">
        <v>13</v>
      </c>
      <c r="B17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17" s="13"/>
      <c r="D17" s="12"/>
      <c r="E17" s="12"/>
      <c r="F17" s="12"/>
      <c r="G17" s="12"/>
      <c r="H17" s="12"/>
      <c r="I17" s="12"/>
      <c r="J17" s="14">
        <f>Tabelle147[[#This Row],[Spalte3]]*'Preise 2€'!B17</f>
        <v>0</v>
      </c>
    </row>
    <row r="18" spans="1:10" s="3" customFormat="1" ht="18" customHeight="1" x14ac:dyDescent="0.25">
      <c r="A18" s="2" t="s">
        <v>14</v>
      </c>
      <c r="B18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18" s="13"/>
      <c r="D18" s="12"/>
      <c r="E18" s="12"/>
      <c r="F18" s="12"/>
      <c r="G18" s="12"/>
      <c r="H18" s="12"/>
      <c r="I18" s="12"/>
      <c r="J18" s="14">
        <f>Tabelle147[[#This Row],[Spalte3]]*'Preise 2€'!B18</f>
        <v>0</v>
      </c>
    </row>
    <row r="19" spans="1:10" s="3" customFormat="1" ht="18" customHeight="1" x14ac:dyDescent="0.25">
      <c r="A19" s="2" t="s">
        <v>15</v>
      </c>
      <c r="B19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19" s="13"/>
      <c r="D19" s="12"/>
      <c r="E19" s="12"/>
      <c r="F19" s="12"/>
      <c r="G19" s="12"/>
      <c r="H19" s="12"/>
      <c r="I19" s="12"/>
      <c r="J19" s="14">
        <f>Tabelle147[[#This Row],[Spalte3]]*'Preise 2€'!B19</f>
        <v>0</v>
      </c>
    </row>
    <row r="20" spans="1:10" s="3" customFormat="1" ht="18" customHeight="1" x14ac:dyDescent="0.25">
      <c r="A20" s="2" t="s">
        <v>16</v>
      </c>
      <c r="B20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20" s="13"/>
      <c r="D20" s="12"/>
      <c r="E20" s="12"/>
      <c r="F20" s="12"/>
      <c r="G20" s="12"/>
      <c r="H20" s="12"/>
      <c r="I20" s="12"/>
      <c r="J20" s="14">
        <f>Tabelle147[[#This Row],[Spalte3]]*'Preise 2€'!B20</f>
        <v>0</v>
      </c>
    </row>
    <row r="21" spans="1:10" s="3" customFormat="1" ht="18" customHeight="1" x14ac:dyDescent="0.25">
      <c r="A21" s="2" t="s">
        <v>17</v>
      </c>
      <c r="B21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21" s="13"/>
      <c r="D21" s="12"/>
      <c r="E21" s="12"/>
      <c r="F21" s="12"/>
      <c r="G21" s="12"/>
      <c r="H21" s="12"/>
      <c r="I21" s="12"/>
      <c r="J21" s="14">
        <f>Tabelle147[[#This Row],[Spalte3]]*'Preise 2€'!B21</f>
        <v>0</v>
      </c>
    </row>
    <row r="22" spans="1:10" s="3" customFormat="1" ht="18" customHeight="1" x14ac:dyDescent="0.25">
      <c r="A22" s="2" t="s">
        <v>18</v>
      </c>
      <c r="B22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22" s="13"/>
      <c r="D22" s="12"/>
      <c r="E22" s="12"/>
      <c r="F22" s="12"/>
      <c r="G22" s="12"/>
      <c r="H22" s="12"/>
      <c r="I22" s="12"/>
      <c r="J22" s="14">
        <f>Tabelle147[[#This Row],[Spalte3]]*'Preise 2€'!B22</f>
        <v>0</v>
      </c>
    </row>
    <row r="23" spans="1:10" s="3" customFormat="1" ht="18" customHeight="1" x14ac:dyDescent="0.25">
      <c r="A23" s="2" t="s">
        <v>19</v>
      </c>
      <c r="B23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23" s="13"/>
      <c r="D23" s="12"/>
      <c r="E23" s="12"/>
      <c r="F23" s="12"/>
      <c r="G23" s="12"/>
      <c r="H23" s="12"/>
      <c r="I23" s="12"/>
      <c r="J23" s="14">
        <f>Tabelle147[[#This Row],[Spalte3]]*'Preise 2€'!B23</f>
        <v>0</v>
      </c>
    </row>
    <row r="24" spans="1:10" s="3" customFormat="1" ht="18" customHeight="1" x14ac:dyDescent="0.25">
      <c r="A24" s="2" t="s">
        <v>20</v>
      </c>
      <c r="B24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24" s="13"/>
      <c r="D24" s="12"/>
      <c r="E24" s="12"/>
      <c r="F24" s="12"/>
      <c r="G24" s="12"/>
      <c r="H24" s="12"/>
      <c r="I24" s="12"/>
      <c r="J24" s="14">
        <f>Tabelle147[[#This Row],[Spalte3]]*'Preise 2€'!B24</f>
        <v>0</v>
      </c>
    </row>
    <row r="25" spans="1:10" s="3" customFormat="1" ht="18" customHeight="1" x14ac:dyDescent="0.25">
      <c r="A25" s="2" t="s">
        <v>21</v>
      </c>
      <c r="B25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25" s="13"/>
      <c r="D25" s="12"/>
      <c r="E25" s="12"/>
      <c r="F25" s="12"/>
      <c r="G25" s="12"/>
      <c r="H25" s="12"/>
      <c r="I25" s="12"/>
      <c r="J25" s="14">
        <f>Tabelle147[[#This Row],[Spalte3]]*'Preise 2€'!B25</f>
        <v>0</v>
      </c>
    </row>
    <row r="26" spans="1:10" s="3" customFormat="1" ht="18" customHeight="1" x14ac:dyDescent="0.25">
      <c r="A26" s="2" t="s">
        <v>22</v>
      </c>
      <c r="B26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26" s="13"/>
      <c r="D26" s="12"/>
      <c r="E26" s="12"/>
      <c r="F26" s="12"/>
      <c r="G26" s="12"/>
      <c r="H26" s="12"/>
      <c r="I26" s="12"/>
      <c r="J26" s="14">
        <f>Tabelle147[[#This Row],[Spalte3]]*'Preise 2€'!B26</f>
        <v>0</v>
      </c>
    </row>
    <row r="27" spans="1:10" s="3" customFormat="1" ht="18" customHeight="1" x14ac:dyDescent="0.25">
      <c r="A27" s="2" t="s">
        <v>23</v>
      </c>
      <c r="B27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27" s="13"/>
      <c r="D27" s="12"/>
      <c r="E27" s="12"/>
      <c r="F27" s="12"/>
      <c r="G27" s="12"/>
      <c r="H27" s="12"/>
      <c r="I27" s="12"/>
      <c r="J27" s="14">
        <f>Tabelle147[[#This Row],[Spalte3]]*'Preise 2€'!B27</f>
        <v>0</v>
      </c>
    </row>
    <row r="28" spans="1:10" s="3" customFormat="1" ht="18" customHeight="1" x14ac:dyDescent="0.25">
      <c r="A28" s="2" t="s">
        <v>24</v>
      </c>
      <c r="B28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28" s="13"/>
      <c r="D28" s="12"/>
      <c r="E28" s="12"/>
      <c r="F28" s="12"/>
      <c r="G28" s="12"/>
      <c r="H28" s="12"/>
      <c r="I28" s="12"/>
      <c r="J28" s="14">
        <f>Tabelle147[[#This Row],[Spalte3]]*'Preise 2€'!B28</f>
        <v>0</v>
      </c>
    </row>
    <row r="29" spans="1:10" s="3" customFormat="1" ht="18" customHeight="1" x14ac:dyDescent="0.25">
      <c r="A29" s="2" t="s">
        <v>25</v>
      </c>
      <c r="B29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29" s="13"/>
      <c r="D29" s="12"/>
      <c r="E29" s="12"/>
      <c r="F29" s="12"/>
      <c r="G29" s="12"/>
      <c r="H29" s="12"/>
      <c r="I29" s="12"/>
      <c r="J29" s="14">
        <f>Tabelle147[[#This Row],[Spalte3]]*'Preise 2€'!B29</f>
        <v>0</v>
      </c>
    </row>
    <row r="30" spans="1:10" s="3" customFormat="1" ht="18" customHeight="1" x14ac:dyDescent="0.25">
      <c r="A30" s="2" t="s">
        <v>26</v>
      </c>
      <c r="B30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30" s="13"/>
      <c r="D30" s="12"/>
      <c r="E30" s="12"/>
      <c r="F30" s="12"/>
      <c r="G30" s="12"/>
      <c r="H30" s="12"/>
      <c r="I30" s="12"/>
      <c r="J30" s="14">
        <f>Tabelle147[[#This Row],[Spalte3]]*'Preise 2€'!B30</f>
        <v>0</v>
      </c>
    </row>
    <row r="31" spans="1:10" s="3" customFormat="1" ht="18" customHeight="1" x14ac:dyDescent="0.25">
      <c r="A31" s="2" t="s">
        <v>27</v>
      </c>
      <c r="B31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31" s="13"/>
      <c r="D31" s="12"/>
      <c r="E31" s="12"/>
      <c r="F31" s="12"/>
      <c r="G31" s="12"/>
      <c r="H31" s="12"/>
      <c r="I31" s="12"/>
      <c r="J31" s="14">
        <f>Tabelle147[[#This Row],[Spalte3]]*'Preise 2€'!B31</f>
        <v>0</v>
      </c>
    </row>
    <row r="32" spans="1:10" s="3" customFormat="1" ht="18" customHeight="1" x14ac:dyDescent="0.25">
      <c r="A32" s="2" t="s">
        <v>28</v>
      </c>
      <c r="B32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32" s="13"/>
      <c r="D32" s="12"/>
      <c r="E32" s="12"/>
      <c r="F32" s="12"/>
      <c r="G32" s="12"/>
      <c r="H32" s="12"/>
      <c r="I32" s="12"/>
      <c r="J32" s="14">
        <f>Tabelle147[[#This Row],[Spalte3]]*'Preise 2€'!B32</f>
        <v>0</v>
      </c>
    </row>
    <row r="33" spans="1:10" s="3" customFormat="1" ht="18" customHeight="1" x14ac:dyDescent="0.25">
      <c r="A33" s="2" t="s">
        <v>29</v>
      </c>
      <c r="B33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33" s="13"/>
      <c r="D33" s="12"/>
      <c r="E33" s="12"/>
      <c r="F33" s="12"/>
      <c r="G33" s="12"/>
      <c r="H33" s="12"/>
      <c r="I33" s="12"/>
      <c r="J33" s="14">
        <f>Tabelle147[[#This Row],[Spalte3]]*'Preise 2€'!B33</f>
        <v>0</v>
      </c>
    </row>
    <row r="34" spans="1:10" s="3" customFormat="1" ht="18" customHeight="1" x14ac:dyDescent="0.25">
      <c r="A34" s="2" t="s">
        <v>30</v>
      </c>
      <c r="B34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34" s="13"/>
      <c r="D34" s="12"/>
      <c r="E34" s="12"/>
      <c r="F34" s="12"/>
      <c r="G34" s="12"/>
      <c r="H34" s="12"/>
      <c r="I34" s="12"/>
      <c r="J34" s="14">
        <f>Tabelle147[[#This Row],[Spalte3]]*'Preise 2€'!B34</f>
        <v>0</v>
      </c>
    </row>
    <row r="35" spans="1:10" s="3" customFormat="1" ht="18" customHeight="1" x14ac:dyDescent="0.25">
      <c r="A35" s="2" t="s">
        <v>31</v>
      </c>
      <c r="B35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35" s="13"/>
      <c r="D35" s="12"/>
      <c r="E35" s="12"/>
      <c r="F35" s="12"/>
      <c r="G35" s="12"/>
      <c r="H35" s="12"/>
      <c r="I35" s="12"/>
      <c r="J35" s="14">
        <f>Tabelle147[[#This Row],[Spalte3]]*'Preise 2€'!B35</f>
        <v>0</v>
      </c>
    </row>
    <row r="36" spans="1:10" s="3" customFormat="1" ht="18" customHeight="1" x14ac:dyDescent="0.25">
      <c r="A36" s="2" t="s">
        <v>32</v>
      </c>
      <c r="B36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36" s="13"/>
      <c r="D36" s="12"/>
      <c r="E36" s="12"/>
      <c r="F36" s="12"/>
      <c r="G36" s="12"/>
      <c r="H36" s="12"/>
      <c r="I36" s="12"/>
      <c r="J36" s="14">
        <f>Tabelle147[[#This Row],[Spalte3]]*'Preise 2€'!B36</f>
        <v>0</v>
      </c>
    </row>
    <row r="37" spans="1:10" s="3" customFormat="1" ht="18" customHeight="1" x14ac:dyDescent="0.25">
      <c r="A37" s="2" t="s">
        <v>33</v>
      </c>
      <c r="B37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37" s="13"/>
      <c r="D37" s="12"/>
      <c r="E37" s="12"/>
      <c r="F37" s="12"/>
      <c r="G37" s="12"/>
      <c r="H37" s="12"/>
      <c r="I37" s="12"/>
      <c r="J37" s="14">
        <f>Tabelle147[[#This Row],[Spalte3]]*'Preise 2€'!B37</f>
        <v>0</v>
      </c>
    </row>
    <row r="38" spans="1:10" s="3" customFormat="1" ht="18" customHeight="1" x14ac:dyDescent="0.25">
      <c r="A38" s="2" t="s">
        <v>34</v>
      </c>
      <c r="B38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38" s="13"/>
      <c r="D38" s="12"/>
      <c r="E38" s="12"/>
      <c r="F38" s="12"/>
      <c r="G38" s="12"/>
      <c r="H38" s="12"/>
      <c r="I38" s="12"/>
      <c r="J38" s="14">
        <f>Tabelle147[[#This Row],[Spalte3]]*'Preise 2€'!B38</f>
        <v>0</v>
      </c>
    </row>
    <row r="39" spans="1:10" s="3" customFormat="1" ht="18" customHeight="1" x14ac:dyDescent="0.25">
      <c r="A39" s="2" t="s">
        <v>35</v>
      </c>
      <c r="B39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39" s="13"/>
      <c r="D39" s="12"/>
      <c r="E39" s="12"/>
      <c r="F39" s="12"/>
      <c r="G39" s="12"/>
      <c r="H39" s="12"/>
      <c r="I39" s="12"/>
      <c r="J39" s="14">
        <f>Tabelle147[[#This Row],[Spalte3]]*'Preise 2€'!B39</f>
        <v>0</v>
      </c>
    </row>
    <row r="40" spans="1:10" s="3" customFormat="1" ht="18" customHeight="1" x14ac:dyDescent="0.25">
      <c r="A40" s="2" t="s">
        <v>36</v>
      </c>
      <c r="B40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40" s="13"/>
      <c r="D40" s="12"/>
      <c r="E40" s="12"/>
      <c r="F40" s="12"/>
      <c r="G40" s="12"/>
      <c r="H40" s="12"/>
      <c r="I40" s="12"/>
      <c r="J40" s="14">
        <f>Tabelle147[[#This Row],[Spalte3]]*'Preise 2€'!B40</f>
        <v>0</v>
      </c>
    </row>
    <row r="41" spans="1:10" s="3" customFormat="1" ht="18" customHeight="1" x14ac:dyDescent="0.25">
      <c r="A41" s="2" t="s">
        <v>37</v>
      </c>
      <c r="B41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41" s="13"/>
      <c r="D41" s="12"/>
      <c r="E41" s="12"/>
      <c r="F41" s="12"/>
      <c r="G41" s="12"/>
      <c r="H41" s="12"/>
      <c r="I41" s="12"/>
      <c r="J41" s="14">
        <f>Tabelle147[[#This Row],[Spalte3]]*'Preise 2€'!B41</f>
        <v>0</v>
      </c>
    </row>
    <row r="42" spans="1:10" s="3" customFormat="1" ht="18" customHeight="1" x14ac:dyDescent="0.25">
      <c r="A42" s="2" t="s">
        <v>38</v>
      </c>
      <c r="B42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42" s="13"/>
      <c r="D42" s="12"/>
      <c r="E42" s="12"/>
      <c r="F42" s="12"/>
      <c r="G42" s="12"/>
      <c r="H42" s="12"/>
      <c r="I42" s="12"/>
      <c r="J42" s="14">
        <f>Tabelle147[[#This Row],[Spalte3]]*'Preise 2€'!B42</f>
        <v>0</v>
      </c>
    </row>
    <row r="43" spans="1:10" s="3" customFormat="1" ht="18" customHeight="1" x14ac:dyDescent="0.25">
      <c r="A43" s="2" t="s">
        <v>39</v>
      </c>
      <c r="B43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43" s="13"/>
      <c r="D43" s="12"/>
      <c r="E43" s="12"/>
      <c r="F43" s="12"/>
      <c r="G43" s="12"/>
      <c r="H43" s="12"/>
      <c r="I43" s="12"/>
      <c r="J43" s="14">
        <f>Tabelle147[[#This Row],[Spalte3]]*'Preise 2€'!B43</f>
        <v>0</v>
      </c>
    </row>
    <row r="44" spans="1:10" ht="18" customHeight="1" x14ac:dyDescent="0.2">
      <c r="A44" s="2" t="s">
        <v>40</v>
      </c>
      <c r="B44" s="12">
        <f>Tabelle147[[#This Row],[Spalte3]]+Tabelle147[[#This Row],[Spalte4]]+Tabelle147[[#This Row],[Spalte5]]+Tabelle147[[#This Row],[Spalte6]]+Tabelle147[[#This Row],[Spalte7]]+Tabelle147[[#This Row],[Spalte8]]+Tabelle147[[#This Row],[Spalte9]]</f>
        <v>0</v>
      </c>
      <c r="C44" s="13"/>
      <c r="D44" s="12"/>
      <c r="E44" s="12"/>
      <c r="F44" s="12"/>
      <c r="G44" s="12"/>
      <c r="H44" s="12"/>
      <c r="I44" s="12"/>
      <c r="J44" s="14">
        <f>Tabelle147[[#This Row],[Spalte3]]*'Preise 2€'!B44</f>
        <v>0</v>
      </c>
    </row>
    <row r="45" spans="1:10" ht="18.7" customHeight="1" x14ac:dyDescent="0.2">
      <c r="A45" s="4"/>
      <c r="C45" s="16" t="s">
        <v>54</v>
      </c>
      <c r="D45" s="16"/>
      <c r="E45" s="17"/>
      <c r="F45" s="17"/>
      <c r="G45" s="16" t="s">
        <v>53</v>
      </c>
      <c r="H45" s="16"/>
      <c r="I45" s="18">
        <f>SUM(J2:J45)</f>
        <v>0</v>
      </c>
      <c r="J45" s="18"/>
    </row>
    <row r="46" spans="1:10" ht="18.7" customHeight="1" x14ac:dyDescent="0.2">
      <c r="A46" s="19"/>
      <c r="B46" s="19"/>
      <c r="C46" s="16" t="s">
        <v>55</v>
      </c>
      <c r="D46" s="16"/>
      <c r="E46" s="16">
        <f>E45-I45</f>
        <v>0</v>
      </c>
      <c r="F46" s="16"/>
    </row>
    <row r="47" spans="1:10" ht="18.7" customHeight="1" x14ac:dyDescent="0.2">
      <c r="A47" s="4"/>
    </row>
    <row r="48" spans="1:10" ht="18.7" customHeight="1" x14ac:dyDescent="0.2">
      <c r="A48" s="4"/>
    </row>
    <row r="49" spans="1:1" ht="18.7" customHeight="1" x14ac:dyDescent="0.2">
      <c r="A49" s="4"/>
    </row>
    <row r="50" spans="1:1" ht="18.7" customHeight="1" x14ac:dyDescent="0.2">
      <c r="A50" s="4"/>
    </row>
    <row r="51" spans="1:1" ht="18.7" customHeight="1" x14ac:dyDescent="0.2">
      <c r="A51" s="4"/>
    </row>
    <row r="52" spans="1:1" ht="18.7" customHeight="1" x14ac:dyDescent="0.2">
      <c r="A52" s="4"/>
    </row>
    <row r="53" spans="1:1" ht="18.7" customHeight="1" x14ac:dyDescent="0.2">
      <c r="A53" s="4"/>
    </row>
    <row r="54" spans="1:1" ht="18.7" customHeight="1" x14ac:dyDescent="0.2">
      <c r="A54" s="4"/>
    </row>
    <row r="55" spans="1:1" ht="18.7" customHeight="1" x14ac:dyDescent="0.2">
      <c r="A55" s="4"/>
    </row>
    <row r="56" spans="1:1" ht="18.7" customHeight="1" x14ac:dyDescent="0.2">
      <c r="A56" s="4"/>
    </row>
    <row r="57" spans="1:1" ht="18.7" customHeight="1" x14ac:dyDescent="0.2">
      <c r="A57" s="4"/>
    </row>
    <row r="58" spans="1:1" ht="18.7" customHeight="1" x14ac:dyDescent="0.2">
      <c r="A58" s="4"/>
    </row>
    <row r="59" spans="1:1" ht="18.7" customHeight="1" x14ac:dyDescent="0.2">
      <c r="A59" s="4"/>
    </row>
    <row r="60" spans="1:1" ht="18.7" customHeight="1" x14ac:dyDescent="0.2">
      <c r="A60" s="4"/>
    </row>
    <row r="61" spans="1:1" ht="18.7" customHeight="1" x14ac:dyDescent="0.2">
      <c r="A61" s="4"/>
    </row>
    <row r="62" spans="1:1" ht="18.7" customHeight="1" x14ac:dyDescent="0.2">
      <c r="A62" s="4"/>
    </row>
    <row r="63" spans="1:1" ht="18.7" customHeight="1" x14ac:dyDescent="0.2">
      <c r="A63" s="4"/>
    </row>
    <row r="64" spans="1:1" ht="18.7" customHeight="1" x14ac:dyDescent="0.2">
      <c r="A64" s="4"/>
    </row>
    <row r="65" spans="1:1" ht="18.7" customHeight="1" x14ac:dyDescent="0.2">
      <c r="A65" s="4"/>
    </row>
    <row r="66" spans="1:1" ht="18.7" customHeight="1" x14ac:dyDescent="0.2">
      <c r="A66" s="4"/>
    </row>
    <row r="67" spans="1:1" ht="18.7" customHeight="1" x14ac:dyDescent="0.2">
      <c r="A67" s="4"/>
    </row>
    <row r="68" spans="1:1" ht="18.7" customHeight="1" x14ac:dyDescent="0.2">
      <c r="A68" s="4"/>
    </row>
    <row r="69" spans="1:1" ht="18.7" customHeight="1" x14ac:dyDescent="0.2">
      <c r="A69" s="4"/>
    </row>
    <row r="70" spans="1:1" ht="18.7" customHeight="1" x14ac:dyDescent="0.2">
      <c r="A70" s="4"/>
    </row>
    <row r="71" spans="1:1" ht="18.7" customHeight="1" x14ac:dyDescent="0.2">
      <c r="A71" s="4"/>
    </row>
    <row r="72" spans="1:1" ht="18.7" customHeight="1" x14ac:dyDescent="0.2">
      <c r="A72" s="4"/>
    </row>
    <row r="73" spans="1:1" ht="18.7" customHeight="1" x14ac:dyDescent="0.2">
      <c r="A73" s="4"/>
    </row>
    <row r="74" spans="1:1" ht="18.7" customHeight="1" x14ac:dyDescent="0.2">
      <c r="A74" s="4"/>
    </row>
    <row r="75" spans="1:1" ht="18.7" customHeight="1" x14ac:dyDescent="0.2">
      <c r="A75" s="4"/>
    </row>
    <row r="76" spans="1:1" ht="18.7" customHeight="1" x14ac:dyDescent="0.2">
      <c r="A76" s="4"/>
    </row>
    <row r="77" spans="1:1" ht="18.7" customHeight="1" x14ac:dyDescent="0.2">
      <c r="A77" s="4"/>
    </row>
    <row r="78" spans="1:1" ht="18.7" customHeight="1" x14ac:dyDescent="0.2">
      <c r="A78" s="4"/>
    </row>
    <row r="79" spans="1:1" ht="18.7" customHeight="1" x14ac:dyDescent="0.2">
      <c r="A79" s="4"/>
    </row>
    <row r="80" spans="1:1" ht="18.7" customHeight="1" x14ac:dyDescent="0.2">
      <c r="A80" s="4"/>
    </row>
    <row r="81" spans="1:1" ht="18.7" customHeight="1" x14ac:dyDescent="0.2">
      <c r="A81" s="4"/>
    </row>
  </sheetData>
  <mergeCells count="7">
    <mergeCell ref="C45:D45"/>
    <mergeCell ref="E45:F45"/>
    <mergeCell ref="G45:H45"/>
    <mergeCell ref="I45:J45"/>
    <mergeCell ref="A46:B46"/>
    <mergeCell ref="C46:D46"/>
    <mergeCell ref="E46:F46"/>
  </mergeCells>
  <conditionalFormatting sqref="E46:F46">
    <cfRule type="cellIs" dxfId="5" priority="1" operator="lessThan">
      <formula>0</formula>
    </cfRule>
    <cfRule type="cellIs" dxfId="4" priority="2" operator="greaterThanOrEqual">
      <formula>0</formula>
    </cfRule>
  </conditionalFormatting>
  <pageMargins left="0.22916666666666666" right="0.23958333333333334" top="0.28125" bottom="0.32291666666666669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7712-D019-42DF-90EE-F5C6C7E69402}">
  <dimension ref="A1:J81"/>
  <sheetViews>
    <sheetView tabSelected="1" zoomScaleNormal="90" workbookViewId="0">
      <selection activeCell="B9" sqref="B9"/>
    </sheetView>
  </sheetViews>
  <sheetFormatPr baseColWidth="10" defaultColWidth="11.375" defaultRowHeight="18.7" customHeight="1" x14ac:dyDescent="0.2"/>
  <cols>
    <col min="1" max="1" width="20.5" style="5" customWidth="1"/>
    <col min="2" max="10" width="8.625" style="5" customWidth="1"/>
    <col min="11" max="16384" width="11.375" style="5"/>
  </cols>
  <sheetData>
    <row r="1" spans="1:10" s="3" customFormat="1" ht="18" customHeight="1" x14ac:dyDescent="0.25">
      <c r="A1" s="6" t="s">
        <v>50</v>
      </c>
      <c r="B1" s="1" t="s">
        <v>41</v>
      </c>
      <c r="C1" s="1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 s="3" customFormat="1" ht="18" customHeight="1" x14ac:dyDescent="0.25">
      <c r="A2" s="2"/>
      <c r="B2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2" s="13"/>
      <c r="D2" s="12"/>
      <c r="E2" s="12"/>
      <c r="F2" s="12"/>
      <c r="G2" s="12"/>
      <c r="H2" s="12"/>
      <c r="I2" s="12"/>
      <c r="J2" s="14">
        <f>Tabelle145[[#This Row],[Spalte3]]*'Preise normal'!B2</f>
        <v>0</v>
      </c>
    </row>
    <row r="3" spans="1:10" s="3" customFormat="1" ht="18" customHeight="1" x14ac:dyDescent="0.25">
      <c r="A3" s="2"/>
      <c r="B3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3" s="13"/>
      <c r="D3" s="12"/>
      <c r="E3" s="12"/>
      <c r="F3" s="12"/>
      <c r="G3" s="12"/>
      <c r="H3" s="12"/>
      <c r="I3" s="12"/>
      <c r="J3" s="14">
        <f>Tabelle145[[#This Row],[Spalte3]]*'Preise normal'!B3</f>
        <v>0</v>
      </c>
    </row>
    <row r="4" spans="1:10" s="3" customFormat="1" ht="18" customHeight="1" x14ac:dyDescent="0.25">
      <c r="A4" s="2"/>
      <c r="B4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4" s="13"/>
      <c r="D4" s="12"/>
      <c r="E4" s="12"/>
      <c r="F4" s="12"/>
      <c r="G4" s="12"/>
      <c r="H4" s="12"/>
      <c r="I4" s="12"/>
      <c r="J4" s="14">
        <f>Tabelle145[[#This Row],[Spalte3]]*'Preise normal'!B4</f>
        <v>0</v>
      </c>
    </row>
    <row r="5" spans="1:10" s="3" customFormat="1" ht="18" customHeight="1" x14ac:dyDescent="0.25">
      <c r="A5" s="2"/>
      <c r="B5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5" s="13"/>
      <c r="D5" s="12"/>
      <c r="E5" s="12"/>
      <c r="F5" s="12"/>
      <c r="G5" s="12"/>
      <c r="H5" s="12"/>
      <c r="I5" s="12"/>
      <c r="J5" s="14">
        <f>Tabelle145[[#This Row],[Spalte3]]*'Preise normal'!B5</f>
        <v>0</v>
      </c>
    </row>
    <row r="6" spans="1:10" s="3" customFormat="1" ht="18" customHeight="1" x14ac:dyDescent="0.25">
      <c r="A6" s="2"/>
      <c r="B6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6" s="13"/>
      <c r="D6" s="12"/>
      <c r="E6" s="12"/>
      <c r="F6" s="12"/>
      <c r="G6" s="12"/>
      <c r="H6" s="12"/>
      <c r="I6" s="12"/>
      <c r="J6" s="14">
        <f>Tabelle145[[#This Row],[Spalte3]]*'Preise normal'!B6</f>
        <v>0</v>
      </c>
    </row>
    <row r="7" spans="1:10" s="3" customFormat="1" ht="18" customHeight="1" x14ac:dyDescent="0.25">
      <c r="A7" s="2"/>
      <c r="B7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7" s="13"/>
      <c r="D7" s="12"/>
      <c r="E7" s="12"/>
      <c r="F7" s="12"/>
      <c r="G7" s="12"/>
      <c r="H7" s="12"/>
      <c r="I7" s="12"/>
      <c r="J7" s="14">
        <f>Tabelle145[[#This Row],[Spalte3]]*'Preise normal'!B7</f>
        <v>0</v>
      </c>
    </row>
    <row r="8" spans="1:10" s="3" customFormat="1" ht="18" customHeight="1" x14ac:dyDescent="0.25">
      <c r="A8" s="2"/>
      <c r="B8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8" s="13"/>
      <c r="D8" s="12"/>
      <c r="E8" s="12"/>
      <c r="F8" s="12"/>
      <c r="G8" s="12"/>
      <c r="H8" s="12"/>
      <c r="I8" s="12"/>
      <c r="J8" s="14">
        <f>Tabelle145[[#This Row],[Spalte3]]*'Preise normal'!B8</f>
        <v>0</v>
      </c>
    </row>
    <row r="9" spans="1:10" s="3" customFormat="1" ht="18" customHeight="1" x14ac:dyDescent="0.25">
      <c r="A9" s="2"/>
      <c r="B9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9" s="13"/>
      <c r="D9" s="12"/>
      <c r="E9" s="12"/>
      <c r="F9" s="12"/>
      <c r="G9" s="12"/>
      <c r="H9" s="12"/>
      <c r="I9" s="12"/>
      <c r="J9" s="14">
        <f>Tabelle145[[#This Row],[Spalte3]]*'Preise normal'!B9</f>
        <v>0</v>
      </c>
    </row>
    <row r="10" spans="1:10" s="3" customFormat="1" ht="18" customHeight="1" x14ac:dyDescent="0.25">
      <c r="A10" s="2"/>
      <c r="B10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10" s="13"/>
      <c r="D10" s="12"/>
      <c r="E10" s="12"/>
      <c r="F10" s="12"/>
      <c r="G10" s="12"/>
      <c r="H10" s="12"/>
      <c r="I10" s="12"/>
      <c r="J10" s="14">
        <f>Tabelle145[[#This Row],[Spalte3]]*'Preise normal'!B10</f>
        <v>0</v>
      </c>
    </row>
    <row r="11" spans="1:10" s="3" customFormat="1" ht="18" customHeight="1" x14ac:dyDescent="0.25">
      <c r="A11" s="2"/>
      <c r="B11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11" s="13"/>
      <c r="D11" s="12"/>
      <c r="E11" s="12"/>
      <c r="F11" s="12"/>
      <c r="G11" s="12"/>
      <c r="H11" s="12"/>
      <c r="I11" s="12"/>
      <c r="J11" s="14">
        <f>Tabelle145[[#This Row],[Spalte3]]*'Preise normal'!B11</f>
        <v>0</v>
      </c>
    </row>
    <row r="12" spans="1:10" s="3" customFormat="1" ht="18" customHeight="1" x14ac:dyDescent="0.25">
      <c r="A12" s="2"/>
      <c r="B12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12" s="13"/>
      <c r="D12" s="12"/>
      <c r="E12" s="12"/>
      <c r="F12" s="12"/>
      <c r="G12" s="12"/>
      <c r="H12" s="12"/>
      <c r="I12" s="12"/>
      <c r="J12" s="14">
        <f>Tabelle145[[#This Row],[Spalte3]]*'Preise normal'!B12</f>
        <v>0</v>
      </c>
    </row>
    <row r="13" spans="1:10" s="3" customFormat="1" ht="18" customHeight="1" x14ac:dyDescent="0.25">
      <c r="A13" s="2"/>
      <c r="B13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13" s="13"/>
      <c r="D13" s="12"/>
      <c r="E13" s="12"/>
      <c r="F13" s="12"/>
      <c r="G13" s="12"/>
      <c r="H13" s="12"/>
      <c r="I13" s="12"/>
      <c r="J13" s="14">
        <f>Tabelle145[[#This Row],[Spalte3]]*'Preise normal'!B13</f>
        <v>0</v>
      </c>
    </row>
    <row r="14" spans="1:10" s="3" customFormat="1" ht="18" customHeight="1" x14ac:dyDescent="0.25">
      <c r="A14" s="2"/>
      <c r="B14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14" s="13"/>
      <c r="D14" s="12"/>
      <c r="E14" s="12"/>
      <c r="F14" s="12"/>
      <c r="G14" s="12"/>
      <c r="H14" s="12"/>
      <c r="I14" s="12"/>
      <c r="J14" s="14">
        <f>Tabelle145[[#This Row],[Spalte3]]*'Preise normal'!B14</f>
        <v>0</v>
      </c>
    </row>
    <row r="15" spans="1:10" s="3" customFormat="1" ht="18" customHeight="1" x14ac:dyDescent="0.25">
      <c r="A15" s="2"/>
      <c r="B15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15" s="13"/>
      <c r="D15" s="12"/>
      <c r="E15" s="12"/>
      <c r="F15" s="12"/>
      <c r="G15" s="12"/>
      <c r="H15" s="12"/>
      <c r="I15" s="12"/>
      <c r="J15" s="14">
        <f>Tabelle145[[#This Row],[Spalte3]]*'Preise normal'!B15</f>
        <v>0</v>
      </c>
    </row>
    <row r="16" spans="1:10" s="3" customFormat="1" ht="18" customHeight="1" x14ac:dyDescent="0.25">
      <c r="A16" s="2"/>
      <c r="B16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16" s="13"/>
      <c r="D16" s="12"/>
      <c r="E16" s="12"/>
      <c r="F16" s="12"/>
      <c r="G16" s="12"/>
      <c r="H16" s="12"/>
      <c r="I16" s="12"/>
      <c r="J16" s="14">
        <f>Tabelle145[[#This Row],[Spalte3]]*'Preise normal'!B16</f>
        <v>0</v>
      </c>
    </row>
    <row r="17" spans="1:10" s="3" customFormat="1" ht="18" customHeight="1" x14ac:dyDescent="0.25">
      <c r="A17" s="2"/>
      <c r="B17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17" s="13"/>
      <c r="D17" s="12"/>
      <c r="E17" s="12"/>
      <c r="F17" s="12"/>
      <c r="G17" s="12"/>
      <c r="H17" s="12"/>
      <c r="I17" s="12"/>
      <c r="J17" s="14">
        <f>Tabelle145[[#This Row],[Spalte3]]*'Preise normal'!B17</f>
        <v>0</v>
      </c>
    </row>
    <row r="18" spans="1:10" s="3" customFormat="1" ht="18" customHeight="1" x14ac:dyDescent="0.25">
      <c r="A18" s="2"/>
      <c r="B18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18" s="13"/>
      <c r="D18" s="12"/>
      <c r="E18" s="12"/>
      <c r="F18" s="12"/>
      <c r="G18" s="12"/>
      <c r="H18" s="12"/>
      <c r="I18" s="12"/>
      <c r="J18" s="14">
        <f>Tabelle145[[#This Row],[Spalte3]]*'Preise normal'!B18</f>
        <v>0</v>
      </c>
    </row>
    <row r="19" spans="1:10" s="3" customFormat="1" ht="18" customHeight="1" x14ac:dyDescent="0.25">
      <c r="A19" s="2"/>
      <c r="B19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19" s="13"/>
      <c r="D19" s="12"/>
      <c r="E19" s="12"/>
      <c r="F19" s="12"/>
      <c r="G19" s="12"/>
      <c r="H19" s="12"/>
      <c r="I19" s="12"/>
      <c r="J19" s="14">
        <f>Tabelle145[[#This Row],[Spalte3]]*'Preise normal'!B19</f>
        <v>0</v>
      </c>
    </row>
    <row r="20" spans="1:10" s="3" customFormat="1" ht="18" customHeight="1" x14ac:dyDescent="0.25">
      <c r="A20" s="2"/>
      <c r="B20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20" s="13"/>
      <c r="D20" s="12"/>
      <c r="E20" s="12"/>
      <c r="F20" s="12"/>
      <c r="G20" s="12"/>
      <c r="H20" s="12"/>
      <c r="I20" s="12"/>
      <c r="J20" s="14">
        <f>Tabelle145[[#This Row],[Spalte3]]*'Preise normal'!B20</f>
        <v>0</v>
      </c>
    </row>
    <row r="21" spans="1:10" s="3" customFormat="1" ht="18" customHeight="1" x14ac:dyDescent="0.25">
      <c r="A21" s="2"/>
      <c r="B21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21" s="13"/>
      <c r="D21" s="12"/>
      <c r="E21" s="12"/>
      <c r="F21" s="12"/>
      <c r="G21" s="12"/>
      <c r="H21" s="12"/>
      <c r="I21" s="12"/>
      <c r="J21" s="14">
        <f>Tabelle145[[#This Row],[Spalte3]]*'Preise normal'!B21</f>
        <v>0</v>
      </c>
    </row>
    <row r="22" spans="1:10" s="3" customFormat="1" ht="18" customHeight="1" x14ac:dyDescent="0.25">
      <c r="A22" s="2"/>
      <c r="B22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22" s="13"/>
      <c r="D22" s="12"/>
      <c r="E22" s="12"/>
      <c r="F22" s="12"/>
      <c r="G22" s="12"/>
      <c r="H22" s="12"/>
      <c r="I22" s="12"/>
      <c r="J22" s="14">
        <f>Tabelle145[[#This Row],[Spalte3]]*'Preise normal'!B22</f>
        <v>0</v>
      </c>
    </row>
    <row r="23" spans="1:10" s="3" customFormat="1" ht="18" customHeight="1" x14ac:dyDescent="0.25">
      <c r="A23" s="2"/>
      <c r="B23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23" s="13"/>
      <c r="D23" s="12"/>
      <c r="E23" s="12"/>
      <c r="F23" s="12"/>
      <c r="G23" s="12"/>
      <c r="H23" s="12"/>
      <c r="I23" s="12"/>
      <c r="J23" s="14">
        <f>Tabelle145[[#This Row],[Spalte3]]*'Preise normal'!B23</f>
        <v>0</v>
      </c>
    </row>
    <row r="24" spans="1:10" s="3" customFormat="1" ht="18" customHeight="1" x14ac:dyDescent="0.25">
      <c r="A24" s="2"/>
      <c r="B24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24" s="13"/>
      <c r="D24" s="12"/>
      <c r="E24" s="12"/>
      <c r="F24" s="12"/>
      <c r="G24" s="12"/>
      <c r="H24" s="12"/>
      <c r="I24" s="12"/>
      <c r="J24" s="14">
        <f>Tabelle145[[#This Row],[Spalte3]]*'Preise normal'!B24</f>
        <v>0</v>
      </c>
    </row>
    <row r="25" spans="1:10" s="3" customFormat="1" ht="18" customHeight="1" x14ac:dyDescent="0.25">
      <c r="A25" s="2"/>
      <c r="B25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25" s="13"/>
      <c r="D25" s="12"/>
      <c r="E25" s="12"/>
      <c r="F25" s="12"/>
      <c r="G25" s="12"/>
      <c r="H25" s="12"/>
      <c r="I25" s="12"/>
      <c r="J25" s="14">
        <f>Tabelle145[[#This Row],[Spalte3]]*'Preise normal'!B25</f>
        <v>0</v>
      </c>
    </row>
    <row r="26" spans="1:10" s="3" customFormat="1" ht="18" customHeight="1" x14ac:dyDescent="0.25">
      <c r="A26" s="2"/>
      <c r="B26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26" s="13"/>
      <c r="D26" s="12"/>
      <c r="E26" s="12"/>
      <c r="F26" s="12"/>
      <c r="G26" s="12"/>
      <c r="H26" s="12"/>
      <c r="I26" s="12"/>
      <c r="J26" s="14">
        <f>Tabelle145[[#This Row],[Spalte3]]*'Preise normal'!B26</f>
        <v>0</v>
      </c>
    </row>
    <row r="27" spans="1:10" s="3" customFormat="1" ht="18" customHeight="1" x14ac:dyDescent="0.25">
      <c r="A27" s="2"/>
      <c r="B27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27" s="13"/>
      <c r="D27" s="12"/>
      <c r="E27" s="12"/>
      <c r="F27" s="12"/>
      <c r="G27" s="12"/>
      <c r="H27" s="12"/>
      <c r="I27" s="12"/>
      <c r="J27" s="14">
        <f>Tabelle145[[#This Row],[Spalte3]]*'Preise normal'!B27</f>
        <v>0</v>
      </c>
    </row>
    <row r="28" spans="1:10" s="3" customFormat="1" ht="18" customHeight="1" x14ac:dyDescent="0.25">
      <c r="A28" s="2"/>
      <c r="B28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28" s="13"/>
      <c r="D28" s="12"/>
      <c r="E28" s="12"/>
      <c r="F28" s="12"/>
      <c r="G28" s="12"/>
      <c r="H28" s="12"/>
      <c r="I28" s="12"/>
      <c r="J28" s="14">
        <f>Tabelle145[[#This Row],[Spalte3]]*'Preise normal'!B28</f>
        <v>0</v>
      </c>
    </row>
    <row r="29" spans="1:10" s="3" customFormat="1" ht="18" customHeight="1" x14ac:dyDescent="0.25">
      <c r="A29" s="2"/>
      <c r="B29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29" s="13"/>
      <c r="D29" s="12"/>
      <c r="E29" s="12"/>
      <c r="F29" s="12"/>
      <c r="G29" s="12"/>
      <c r="H29" s="12"/>
      <c r="I29" s="12"/>
      <c r="J29" s="14">
        <f>Tabelle145[[#This Row],[Spalte3]]*'Preise normal'!B29</f>
        <v>0</v>
      </c>
    </row>
    <row r="30" spans="1:10" s="3" customFormat="1" ht="18" customHeight="1" x14ac:dyDescent="0.25">
      <c r="A30" s="2"/>
      <c r="B30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30" s="13"/>
      <c r="D30" s="12"/>
      <c r="E30" s="12"/>
      <c r="F30" s="12"/>
      <c r="G30" s="12"/>
      <c r="H30" s="12"/>
      <c r="I30" s="12"/>
      <c r="J30" s="14">
        <f>Tabelle145[[#This Row],[Spalte3]]*'Preise normal'!B30</f>
        <v>0</v>
      </c>
    </row>
    <row r="31" spans="1:10" s="3" customFormat="1" ht="18" customHeight="1" x14ac:dyDescent="0.25">
      <c r="A31" s="2"/>
      <c r="B31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31" s="13"/>
      <c r="D31" s="12"/>
      <c r="E31" s="12"/>
      <c r="F31" s="12"/>
      <c r="G31" s="12"/>
      <c r="H31" s="12"/>
      <c r="I31" s="12"/>
      <c r="J31" s="14">
        <f>Tabelle145[[#This Row],[Spalte3]]*'Preise normal'!B31</f>
        <v>0</v>
      </c>
    </row>
    <row r="32" spans="1:10" s="3" customFormat="1" ht="18" customHeight="1" x14ac:dyDescent="0.25">
      <c r="A32" s="2"/>
      <c r="B32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32" s="13"/>
      <c r="D32" s="12"/>
      <c r="E32" s="12"/>
      <c r="F32" s="12"/>
      <c r="G32" s="12"/>
      <c r="H32" s="12"/>
      <c r="I32" s="12"/>
      <c r="J32" s="14">
        <f>Tabelle145[[#This Row],[Spalte3]]*'Preise normal'!B32</f>
        <v>0</v>
      </c>
    </row>
    <row r="33" spans="1:10" s="3" customFormat="1" ht="18" customHeight="1" x14ac:dyDescent="0.25">
      <c r="A33" s="2"/>
      <c r="B33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33" s="13"/>
      <c r="D33" s="12"/>
      <c r="E33" s="12"/>
      <c r="F33" s="12"/>
      <c r="G33" s="12"/>
      <c r="H33" s="12"/>
      <c r="I33" s="12"/>
      <c r="J33" s="14">
        <f>Tabelle145[[#This Row],[Spalte3]]*'Preise normal'!B33</f>
        <v>0</v>
      </c>
    </row>
    <row r="34" spans="1:10" s="3" customFormat="1" ht="18" customHeight="1" x14ac:dyDescent="0.25">
      <c r="A34" s="2"/>
      <c r="B34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34" s="13"/>
      <c r="D34" s="12"/>
      <c r="E34" s="12"/>
      <c r="F34" s="12"/>
      <c r="G34" s="12"/>
      <c r="H34" s="12"/>
      <c r="I34" s="12"/>
      <c r="J34" s="14">
        <f>Tabelle145[[#This Row],[Spalte3]]*'Preise normal'!B34</f>
        <v>0</v>
      </c>
    </row>
    <row r="35" spans="1:10" s="3" customFormat="1" ht="18" customHeight="1" x14ac:dyDescent="0.25">
      <c r="A35" s="2"/>
      <c r="B35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35" s="13"/>
      <c r="D35" s="12"/>
      <c r="E35" s="12"/>
      <c r="F35" s="12"/>
      <c r="G35" s="12"/>
      <c r="H35" s="12"/>
      <c r="I35" s="12"/>
      <c r="J35" s="14">
        <f>Tabelle145[[#This Row],[Spalte3]]*'Preise normal'!B35</f>
        <v>0</v>
      </c>
    </row>
    <row r="36" spans="1:10" s="3" customFormat="1" ht="18" customHeight="1" x14ac:dyDescent="0.25">
      <c r="A36" s="2"/>
      <c r="B36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36" s="13"/>
      <c r="D36" s="12"/>
      <c r="E36" s="12"/>
      <c r="F36" s="12"/>
      <c r="G36" s="12"/>
      <c r="H36" s="12"/>
      <c r="I36" s="12"/>
      <c r="J36" s="14">
        <f>Tabelle145[[#This Row],[Spalte3]]*'Preise normal'!B36</f>
        <v>0</v>
      </c>
    </row>
    <row r="37" spans="1:10" s="3" customFormat="1" ht="18" customHeight="1" x14ac:dyDescent="0.25">
      <c r="A37" s="2"/>
      <c r="B37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37" s="13"/>
      <c r="D37" s="12"/>
      <c r="E37" s="12"/>
      <c r="F37" s="12"/>
      <c r="G37" s="12"/>
      <c r="H37" s="12"/>
      <c r="I37" s="12"/>
      <c r="J37" s="14">
        <f>Tabelle145[[#This Row],[Spalte3]]*'Preise normal'!B37</f>
        <v>0</v>
      </c>
    </row>
    <row r="38" spans="1:10" s="3" customFormat="1" ht="18" customHeight="1" x14ac:dyDescent="0.25">
      <c r="A38" s="2"/>
      <c r="B38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38" s="13"/>
      <c r="D38" s="12"/>
      <c r="E38" s="12"/>
      <c r="F38" s="12"/>
      <c r="G38" s="12"/>
      <c r="H38" s="12"/>
      <c r="I38" s="12"/>
      <c r="J38" s="14">
        <f>Tabelle145[[#This Row],[Spalte3]]*'Preise normal'!B38</f>
        <v>0</v>
      </c>
    </row>
    <row r="39" spans="1:10" s="3" customFormat="1" ht="18" customHeight="1" x14ac:dyDescent="0.25">
      <c r="A39" s="2"/>
      <c r="B39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39" s="13"/>
      <c r="D39" s="12"/>
      <c r="E39" s="12"/>
      <c r="F39" s="12"/>
      <c r="G39" s="12"/>
      <c r="H39" s="12"/>
      <c r="I39" s="12"/>
      <c r="J39" s="14">
        <f>Tabelle145[[#This Row],[Spalte3]]*'Preise normal'!B39</f>
        <v>0</v>
      </c>
    </row>
    <row r="40" spans="1:10" s="3" customFormat="1" ht="18" customHeight="1" x14ac:dyDescent="0.25">
      <c r="A40" s="2"/>
      <c r="B40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40" s="13"/>
      <c r="D40" s="12"/>
      <c r="E40" s="12"/>
      <c r="F40" s="12"/>
      <c r="G40" s="12"/>
      <c r="H40" s="12"/>
      <c r="I40" s="12"/>
      <c r="J40" s="14">
        <f>Tabelle145[[#This Row],[Spalte3]]*'Preise normal'!B40</f>
        <v>0</v>
      </c>
    </row>
    <row r="41" spans="1:10" s="3" customFormat="1" ht="18" customHeight="1" x14ac:dyDescent="0.25">
      <c r="A41" s="2"/>
      <c r="B41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41" s="13"/>
      <c r="D41" s="12"/>
      <c r="E41" s="12"/>
      <c r="F41" s="12"/>
      <c r="G41" s="12"/>
      <c r="H41" s="12"/>
      <c r="I41" s="12"/>
      <c r="J41" s="14">
        <f>Tabelle145[[#This Row],[Spalte3]]*'Preise normal'!B41</f>
        <v>0</v>
      </c>
    </row>
    <row r="42" spans="1:10" s="3" customFormat="1" ht="18" customHeight="1" x14ac:dyDescent="0.25">
      <c r="A42" s="2"/>
      <c r="B42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42" s="13"/>
      <c r="D42" s="12"/>
      <c r="E42" s="12"/>
      <c r="F42" s="12"/>
      <c r="G42" s="12"/>
      <c r="H42" s="12"/>
      <c r="I42" s="12"/>
      <c r="J42" s="14">
        <f>Tabelle145[[#This Row],[Spalte3]]*'Preise normal'!B42</f>
        <v>0</v>
      </c>
    </row>
    <row r="43" spans="1:10" s="3" customFormat="1" ht="18" customHeight="1" x14ac:dyDescent="0.25">
      <c r="A43" s="2"/>
      <c r="B43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43" s="13"/>
      <c r="D43" s="12"/>
      <c r="E43" s="12"/>
      <c r="F43" s="12"/>
      <c r="G43" s="12"/>
      <c r="H43" s="12"/>
      <c r="I43" s="12"/>
      <c r="J43" s="14">
        <f>Tabelle145[[#This Row],[Spalte3]]*'Preise normal'!B43</f>
        <v>0</v>
      </c>
    </row>
    <row r="44" spans="1:10" ht="18" customHeight="1" x14ac:dyDescent="0.2">
      <c r="A44" s="2"/>
      <c r="B44" s="12">
        <f>Tabelle145[[#This Row],[Spalte3]]+Tabelle145[[#This Row],[Spalte4]]+Tabelle145[[#This Row],[Spalte5]]+Tabelle145[[#This Row],[Spalte6]]+Tabelle145[[#This Row],[Spalte7]]+Tabelle145[[#This Row],[Spalte8]]+Tabelle145[[#This Row],[Spalte9]]</f>
        <v>0</v>
      </c>
      <c r="C44" s="13"/>
      <c r="D44" s="12"/>
      <c r="E44" s="12"/>
      <c r="F44" s="12"/>
      <c r="G44" s="12"/>
      <c r="H44" s="12"/>
      <c r="I44" s="12"/>
      <c r="J44" s="14">
        <f>Tabelle145[[#This Row],[Spalte3]]*'Preise normal'!B44</f>
        <v>0</v>
      </c>
    </row>
    <row r="45" spans="1:10" ht="18.7" customHeight="1" x14ac:dyDescent="0.2">
      <c r="A45" s="4"/>
      <c r="C45" s="16" t="s">
        <v>54</v>
      </c>
      <c r="D45" s="16"/>
      <c r="E45" s="17"/>
      <c r="F45" s="17"/>
      <c r="G45" s="16" t="s">
        <v>53</v>
      </c>
      <c r="H45" s="16"/>
      <c r="I45" s="18">
        <f>SUM(J2:J45)</f>
        <v>0</v>
      </c>
      <c r="J45" s="18"/>
    </row>
    <row r="46" spans="1:10" ht="18.7" customHeight="1" x14ac:dyDescent="0.2">
      <c r="A46" s="19"/>
      <c r="B46" s="19"/>
      <c r="C46" s="16" t="s">
        <v>55</v>
      </c>
      <c r="D46" s="16"/>
      <c r="E46" s="16">
        <f>E45-I45</f>
        <v>0</v>
      </c>
      <c r="F46" s="16"/>
    </row>
    <row r="47" spans="1:10" ht="18.7" customHeight="1" x14ac:dyDescent="0.2">
      <c r="A47" s="4"/>
    </row>
    <row r="48" spans="1:10" ht="18.7" customHeight="1" x14ac:dyDescent="0.2">
      <c r="A48" s="4"/>
    </row>
    <row r="49" spans="1:1" ht="18.7" customHeight="1" x14ac:dyDescent="0.2">
      <c r="A49" s="4"/>
    </row>
    <row r="50" spans="1:1" ht="18.7" customHeight="1" x14ac:dyDescent="0.2">
      <c r="A50" s="4"/>
    </row>
    <row r="51" spans="1:1" ht="18.7" customHeight="1" x14ac:dyDescent="0.2">
      <c r="A51" s="4"/>
    </row>
    <row r="52" spans="1:1" ht="18.7" customHeight="1" x14ac:dyDescent="0.2">
      <c r="A52" s="4"/>
    </row>
    <row r="53" spans="1:1" ht="18.7" customHeight="1" x14ac:dyDescent="0.2">
      <c r="A53" s="4"/>
    </row>
    <row r="54" spans="1:1" ht="18.7" customHeight="1" x14ac:dyDescent="0.2">
      <c r="A54" s="4"/>
    </row>
    <row r="55" spans="1:1" ht="18.7" customHeight="1" x14ac:dyDescent="0.2">
      <c r="A55" s="4"/>
    </row>
    <row r="56" spans="1:1" ht="18.7" customHeight="1" x14ac:dyDescent="0.2">
      <c r="A56" s="4"/>
    </row>
    <row r="57" spans="1:1" ht="18.7" customHeight="1" x14ac:dyDescent="0.2">
      <c r="A57" s="4"/>
    </row>
    <row r="58" spans="1:1" ht="18.7" customHeight="1" x14ac:dyDescent="0.2">
      <c r="A58" s="4"/>
    </row>
    <row r="59" spans="1:1" ht="18.7" customHeight="1" x14ac:dyDescent="0.2">
      <c r="A59" s="4"/>
    </row>
    <row r="60" spans="1:1" ht="18.7" customHeight="1" x14ac:dyDescent="0.2">
      <c r="A60" s="4"/>
    </row>
    <row r="61" spans="1:1" ht="18.7" customHeight="1" x14ac:dyDescent="0.2">
      <c r="A61" s="4"/>
    </row>
    <row r="62" spans="1:1" ht="18.7" customHeight="1" x14ac:dyDescent="0.2">
      <c r="A62" s="4"/>
    </row>
    <row r="63" spans="1:1" ht="18.7" customHeight="1" x14ac:dyDescent="0.2">
      <c r="A63" s="4"/>
    </row>
    <row r="64" spans="1:1" ht="18.7" customHeight="1" x14ac:dyDescent="0.2">
      <c r="A64" s="4"/>
    </row>
    <row r="65" spans="1:1" ht="18.7" customHeight="1" x14ac:dyDescent="0.2">
      <c r="A65" s="4"/>
    </row>
    <row r="66" spans="1:1" ht="18.7" customHeight="1" x14ac:dyDescent="0.2">
      <c r="A66" s="4"/>
    </row>
    <row r="67" spans="1:1" ht="18.7" customHeight="1" x14ac:dyDescent="0.2">
      <c r="A67" s="4"/>
    </row>
    <row r="68" spans="1:1" ht="18.7" customHeight="1" x14ac:dyDescent="0.2">
      <c r="A68" s="4"/>
    </row>
    <row r="69" spans="1:1" ht="18.7" customHeight="1" x14ac:dyDescent="0.2">
      <c r="A69" s="4"/>
    </row>
    <row r="70" spans="1:1" ht="18.7" customHeight="1" x14ac:dyDescent="0.2">
      <c r="A70" s="4"/>
    </row>
    <row r="71" spans="1:1" ht="18.7" customHeight="1" x14ac:dyDescent="0.2">
      <c r="A71" s="4"/>
    </row>
    <row r="72" spans="1:1" ht="18.7" customHeight="1" x14ac:dyDescent="0.2">
      <c r="A72" s="4"/>
    </row>
    <row r="73" spans="1:1" ht="18.7" customHeight="1" x14ac:dyDescent="0.2">
      <c r="A73" s="4"/>
    </row>
    <row r="74" spans="1:1" ht="18.7" customHeight="1" x14ac:dyDescent="0.2">
      <c r="A74" s="4"/>
    </row>
    <row r="75" spans="1:1" ht="18.7" customHeight="1" x14ac:dyDescent="0.2">
      <c r="A75" s="4"/>
    </row>
    <row r="76" spans="1:1" ht="18.7" customHeight="1" x14ac:dyDescent="0.2">
      <c r="A76" s="4"/>
    </row>
    <row r="77" spans="1:1" ht="18.7" customHeight="1" x14ac:dyDescent="0.2">
      <c r="A77" s="4"/>
    </row>
    <row r="78" spans="1:1" ht="18.7" customHeight="1" x14ac:dyDescent="0.2">
      <c r="A78" s="4"/>
    </row>
    <row r="79" spans="1:1" ht="18.7" customHeight="1" x14ac:dyDescent="0.2">
      <c r="A79" s="4"/>
    </row>
    <row r="80" spans="1:1" ht="18.7" customHeight="1" x14ac:dyDescent="0.2">
      <c r="A80" s="4"/>
    </row>
    <row r="81" spans="1:1" ht="18.7" customHeight="1" x14ac:dyDescent="0.2">
      <c r="A81" s="4"/>
    </row>
  </sheetData>
  <mergeCells count="7">
    <mergeCell ref="C45:D45"/>
    <mergeCell ref="E45:F45"/>
    <mergeCell ref="G45:H45"/>
    <mergeCell ref="I45:J45"/>
    <mergeCell ref="A46:B46"/>
    <mergeCell ref="C46:D46"/>
    <mergeCell ref="E46:F46"/>
  </mergeCells>
  <phoneticPr fontId="9" type="noConversion"/>
  <conditionalFormatting sqref="E46:F46">
    <cfRule type="cellIs" dxfId="3" priority="1" operator="lessThan">
      <formula>0</formula>
    </cfRule>
    <cfRule type="cellIs" dxfId="2" priority="2" operator="greaterThanOrEqual">
      <formula>0</formula>
    </cfRule>
  </conditionalFormatting>
  <pageMargins left="0.22916666666666666" right="0.23958333333333334" top="0.28125" bottom="0.32291666666666669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D53D1-74E0-4B98-BCBA-C01FD30E07D3}">
  <dimension ref="A1:J81"/>
  <sheetViews>
    <sheetView topLeftCell="A26" zoomScaleNormal="90" workbookViewId="0">
      <selection activeCell="A46" sqref="A46:B46"/>
    </sheetView>
  </sheetViews>
  <sheetFormatPr baseColWidth="10" defaultColWidth="11.375" defaultRowHeight="18.7" customHeight="1" x14ac:dyDescent="0.2"/>
  <cols>
    <col min="1" max="1" width="20.5" style="5" customWidth="1"/>
    <col min="2" max="10" width="8.625" style="5" customWidth="1"/>
    <col min="11" max="16384" width="11.375" style="5"/>
  </cols>
  <sheetData>
    <row r="1" spans="1:10" s="3" customFormat="1" ht="18" customHeight="1" x14ac:dyDescent="0.25">
      <c r="A1" s="6" t="s">
        <v>50</v>
      </c>
      <c r="B1" s="1" t="s">
        <v>41</v>
      </c>
      <c r="C1" s="1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 s="3" customFormat="1" ht="18" customHeight="1" x14ac:dyDescent="0.25">
      <c r="A2" s="2" t="s">
        <v>0</v>
      </c>
      <c r="B2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2" s="13"/>
      <c r="D2" s="12"/>
      <c r="E2" s="12"/>
      <c r="F2" s="12"/>
      <c r="G2" s="12"/>
      <c r="H2" s="12"/>
      <c r="I2" s="12"/>
      <c r="J2" s="14">
        <f>Tabelle14[[#This Row],[Spalte3]]*'Preise 2€'!B2</f>
        <v>0</v>
      </c>
    </row>
    <row r="3" spans="1:10" s="3" customFormat="1" ht="18" customHeight="1" x14ac:dyDescent="0.25">
      <c r="A3" s="2" t="s">
        <v>1</v>
      </c>
      <c r="B3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3" s="13"/>
      <c r="D3" s="12"/>
      <c r="E3" s="12"/>
      <c r="F3" s="12"/>
      <c r="G3" s="12"/>
      <c r="H3" s="12"/>
      <c r="I3" s="12"/>
      <c r="J3" s="14">
        <f>Tabelle14[[#This Row],[Spalte3]]*'Preise 2€'!B3</f>
        <v>0</v>
      </c>
    </row>
    <row r="4" spans="1:10" s="3" customFormat="1" ht="18" customHeight="1" x14ac:dyDescent="0.25">
      <c r="A4" s="2" t="s">
        <v>2</v>
      </c>
      <c r="B4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4" s="13"/>
      <c r="D4" s="12"/>
      <c r="E4" s="12"/>
      <c r="F4" s="12"/>
      <c r="G4" s="12"/>
      <c r="H4" s="12"/>
      <c r="I4" s="12"/>
      <c r="J4" s="14">
        <f>Tabelle14[[#This Row],[Spalte3]]*'Preise 2€'!B4</f>
        <v>0</v>
      </c>
    </row>
    <row r="5" spans="1:10" s="3" customFormat="1" ht="18" customHeight="1" x14ac:dyDescent="0.25">
      <c r="A5" s="2" t="s">
        <v>3</v>
      </c>
      <c r="B5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5" s="13"/>
      <c r="D5" s="12"/>
      <c r="E5" s="12"/>
      <c r="F5" s="12"/>
      <c r="G5" s="12"/>
      <c r="H5" s="12"/>
      <c r="I5" s="12"/>
      <c r="J5" s="14">
        <f>Tabelle14[[#This Row],[Spalte3]]*'Preise 2€'!B5</f>
        <v>0</v>
      </c>
    </row>
    <row r="6" spans="1:10" s="3" customFormat="1" ht="18" customHeight="1" x14ac:dyDescent="0.25">
      <c r="A6" s="2" t="s">
        <v>4</v>
      </c>
      <c r="B6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6" s="13"/>
      <c r="D6" s="12"/>
      <c r="E6" s="12"/>
      <c r="F6" s="12"/>
      <c r="G6" s="12"/>
      <c r="H6" s="12"/>
      <c r="I6" s="12"/>
      <c r="J6" s="14">
        <f>Tabelle14[[#This Row],[Spalte3]]*'Preise 2€'!B6</f>
        <v>0</v>
      </c>
    </row>
    <row r="7" spans="1:10" s="3" customFormat="1" ht="18" customHeight="1" x14ac:dyDescent="0.25">
      <c r="A7" s="2" t="s">
        <v>5</v>
      </c>
      <c r="B7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7" s="13"/>
      <c r="D7" s="12"/>
      <c r="E7" s="12"/>
      <c r="F7" s="12"/>
      <c r="G7" s="12"/>
      <c r="H7" s="12"/>
      <c r="I7" s="12"/>
      <c r="J7" s="14">
        <f>Tabelle14[[#This Row],[Spalte3]]*'Preise 2€'!B7</f>
        <v>0</v>
      </c>
    </row>
    <row r="8" spans="1:10" s="3" customFormat="1" ht="18" customHeight="1" x14ac:dyDescent="0.25">
      <c r="A8" s="2" t="s">
        <v>6</v>
      </c>
      <c r="B8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8" s="13"/>
      <c r="D8" s="12"/>
      <c r="E8" s="12"/>
      <c r="F8" s="12"/>
      <c r="G8" s="12"/>
      <c r="H8" s="12"/>
      <c r="I8" s="12"/>
      <c r="J8" s="14">
        <f>Tabelle14[[#This Row],[Spalte3]]*'Preise 2€'!B8</f>
        <v>0</v>
      </c>
    </row>
    <row r="9" spans="1:10" s="3" customFormat="1" ht="18" customHeight="1" x14ac:dyDescent="0.25">
      <c r="A9" s="2" t="s">
        <v>7</v>
      </c>
      <c r="B9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9" s="13"/>
      <c r="D9" s="12"/>
      <c r="E9" s="12"/>
      <c r="F9" s="12"/>
      <c r="G9" s="12"/>
      <c r="H9" s="12"/>
      <c r="I9" s="12"/>
      <c r="J9" s="14">
        <f>Tabelle14[[#This Row],[Spalte3]]*'Preise 2€'!B9</f>
        <v>0</v>
      </c>
    </row>
    <row r="10" spans="1:10" s="3" customFormat="1" ht="18" customHeight="1" x14ac:dyDescent="0.25">
      <c r="A10" s="2" t="s">
        <v>8</v>
      </c>
      <c r="B10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10" s="13"/>
      <c r="D10" s="12"/>
      <c r="E10" s="12"/>
      <c r="F10" s="12"/>
      <c r="G10" s="12"/>
      <c r="H10" s="12"/>
      <c r="I10" s="12"/>
      <c r="J10" s="14">
        <f>Tabelle14[[#This Row],[Spalte3]]*'Preise 2€'!B10</f>
        <v>0</v>
      </c>
    </row>
    <row r="11" spans="1:10" s="3" customFormat="1" ht="18" customHeight="1" x14ac:dyDescent="0.25">
      <c r="A11" s="2" t="s">
        <v>9</v>
      </c>
      <c r="B11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11" s="13"/>
      <c r="D11" s="12"/>
      <c r="E11" s="12"/>
      <c r="F11" s="12"/>
      <c r="G11" s="12"/>
      <c r="H11" s="12"/>
      <c r="I11" s="12"/>
      <c r="J11" s="14">
        <f>Tabelle14[[#This Row],[Spalte3]]*'Preise 2€'!B11</f>
        <v>0</v>
      </c>
    </row>
    <row r="12" spans="1:10" s="3" customFormat="1" ht="18" customHeight="1" x14ac:dyDescent="0.25">
      <c r="A12" s="2" t="s">
        <v>10</v>
      </c>
      <c r="B12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12" s="13"/>
      <c r="D12" s="12"/>
      <c r="E12" s="12"/>
      <c r="F12" s="12"/>
      <c r="G12" s="12"/>
      <c r="H12" s="12"/>
      <c r="I12" s="12"/>
      <c r="J12" s="14">
        <f>Tabelle14[[#This Row],[Spalte3]]*'Preise 2€'!B12</f>
        <v>0</v>
      </c>
    </row>
    <row r="13" spans="1:10" s="3" customFormat="1" ht="18" customHeight="1" x14ac:dyDescent="0.25">
      <c r="A13" s="2" t="s">
        <v>11</v>
      </c>
      <c r="B13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13" s="13"/>
      <c r="D13" s="12"/>
      <c r="E13" s="12"/>
      <c r="F13" s="12"/>
      <c r="G13" s="12"/>
      <c r="H13" s="12"/>
      <c r="I13" s="12"/>
      <c r="J13" s="14">
        <f>Tabelle14[[#This Row],[Spalte3]]*'Preise 2€'!B13</f>
        <v>0</v>
      </c>
    </row>
    <row r="14" spans="1:10" s="3" customFormat="1" ht="18" customHeight="1" x14ac:dyDescent="0.25">
      <c r="A14" s="2" t="s">
        <v>56</v>
      </c>
      <c r="B14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14" s="13"/>
      <c r="D14" s="12"/>
      <c r="E14" s="12"/>
      <c r="F14" s="12"/>
      <c r="G14" s="12"/>
      <c r="H14" s="12"/>
      <c r="I14" s="12"/>
      <c r="J14" s="14">
        <f>Tabelle14[[#This Row],[Spalte3]]*'Preise 2€'!B14</f>
        <v>0</v>
      </c>
    </row>
    <row r="15" spans="1:10" s="3" customFormat="1" ht="18" customHeight="1" x14ac:dyDescent="0.25">
      <c r="A15" s="2" t="s">
        <v>57</v>
      </c>
      <c r="B15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15" s="13"/>
      <c r="D15" s="12"/>
      <c r="E15" s="12"/>
      <c r="F15" s="12"/>
      <c r="G15" s="12"/>
      <c r="H15" s="12"/>
      <c r="I15" s="12"/>
      <c r="J15" s="14">
        <f>Tabelle14[[#This Row],[Spalte3]]*'Preise 2€'!B15</f>
        <v>0</v>
      </c>
    </row>
    <row r="16" spans="1:10" s="3" customFormat="1" ht="18" customHeight="1" x14ac:dyDescent="0.25">
      <c r="A16" s="2" t="s">
        <v>12</v>
      </c>
      <c r="B16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16" s="13"/>
      <c r="D16" s="12"/>
      <c r="E16" s="12"/>
      <c r="F16" s="12"/>
      <c r="G16" s="12"/>
      <c r="H16" s="12"/>
      <c r="I16" s="12"/>
      <c r="J16" s="14">
        <f>Tabelle14[[#This Row],[Spalte3]]*'Preise 2€'!B16</f>
        <v>0</v>
      </c>
    </row>
    <row r="17" spans="1:10" s="3" customFormat="1" ht="18" customHeight="1" x14ac:dyDescent="0.25">
      <c r="A17" s="2" t="s">
        <v>13</v>
      </c>
      <c r="B17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17" s="13"/>
      <c r="D17" s="12"/>
      <c r="E17" s="12"/>
      <c r="F17" s="12"/>
      <c r="G17" s="12"/>
      <c r="H17" s="12"/>
      <c r="I17" s="12"/>
      <c r="J17" s="14">
        <f>Tabelle14[[#This Row],[Spalte3]]*'Preise 2€'!B17</f>
        <v>0</v>
      </c>
    </row>
    <row r="18" spans="1:10" s="3" customFormat="1" ht="18" customHeight="1" x14ac:dyDescent="0.25">
      <c r="A18" s="2" t="s">
        <v>14</v>
      </c>
      <c r="B18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18" s="13"/>
      <c r="D18" s="12"/>
      <c r="E18" s="12"/>
      <c r="F18" s="12"/>
      <c r="G18" s="12"/>
      <c r="H18" s="12"/>
      <c r="I18" s="12"/>
      <c r="J18" s="14">
        <f>Tabelle14[[#This Row],[Spalte3]]*'Preise 2€'!B18</f>
        <v>0</v>
      </c>
    </row>
    <row r="19" spans="1:10" s="3" customFormat="1" ht="18" customHeight="1" x14ac:dyDescent="0.25">
      <c r="A19" s="2" t="s">
        <v>15</v>
      </c>
      <c r="B19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19" s="13"/>
      <c r="D19" s="12"/>
      <c r="E19" s="12"/>
      <c r="F19" s="12"/>
      <c r="G19" s="12"/>
      <c r="H19" s="12"/>
      <c r="I19" s="12"/>
      <c r="J19" s="14">
        <f>Tabelle14[[#This Row],[Spalte3]]*'Preise 2€'!B19</f>
        <v>0</v>
      </c>
    </row>
    <row r="20" spans="1:10" s="3" customFormat="1" ht="18" customHeight="1" x14ac:dyDescent="0.25">
      <c r="A20" s="2" t="s">
        <v>16</v>
      </c>
      <c r="B20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20" s="13"/>
      <c r="D20" s="12"/>
      <c r="E20" s="12"/>
      <c r="F20" s="12"/>
      <c r="G20" s="12"/>
      <c r="H20" s="12"/>
      <c r="I20" s="12"/>
      <c r="J20" s="14">
        <f>Tabelle14[[#This Row],[Spalte3]]*'Preise 2€'!B20</f>
        <v>0</v>
      </c>
    </row>
    <row r="21" spans="1:10" s="3" customFormat="1" ht="18" customHeight="1" x14ac:dyDescent="0.25">
      <c r="A21" s="2" t="s">
        <v>17</v>
      </c>
      <c r="B21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21" s="13"/>
      <c r="D21" s="12"/>
      <c r="E21" s="12"/>
      <c r="F21" s="12"/>
      <c r="G21" s="12"/>
      <c r="H21" s="12"/>
      <c r="I21" s="12"/>
      <c r="J21" s="14">
        <f>Tabelle14[[#This Row],[Spalte3]]*'Preise 2€'!B21</f>
        <v>0</v>
      </c>
    </row>
    <row r="22" spans="1:10" s="3" customFormat="1" ht="18" customHeight="1" x14ac:dyDescent="0.25">
      <c r="A22" s="2" t="s">
        <v>18</v>
      </c>
      <c r="B22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22" s="13"/>
      <c r="D22" s="12"/>
      <c r="E22" s="12"/>
      <c r="F22" s="12"/>
      <c r="G22" s="12"/>
      <c r="H22" s="12"/>
      <c r="I22" s="12"/>
      <c r="J22" s="14">
        <f>Tabelle14[[#This Row],[Spalte3]]*'Preise 2€'!B22</f>
        <v>0</v>
      </c>
    </row>
    <row r="23" spans="1:10" s="3" customFormat="1" ht="18" customHeight="1" x14ac:dyDescent="0.25">
      <c r="A23" s="2" t="s">
        <v>19</v>
      </c>
      <c r="B23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23" s="13"/>
      <c r="D23" s="12"/>
      <c r="E23" s="12"/>
      <c r="F23" s="12"/>
      <c r="G23" s="12"/>
      <c r="H23" s="12"/>
      <c r="I23" s="12"/>
      <c r="J23" s="14">
        <f>Tabelle14[[#This Row],[Spalte3]]*'Preise 2€'!B23</f>
        <v>0</v>
      </c>
    </row>
    <row r="24" spans="1:10" s="3" customFormat="1" ht="18" customHeight="1" x14ac:dyDescent="0.25">
      <c r="A24" s="2" t="s">
        <v>20</v>
      </c>
      <c r="B24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24" s="13"/>
      <c r="D24" s="12"/>
      <c r="E24" s="12"/>
      <c r="F24" s="12"/>
      <c r="G24" s="12"/>
      <c r="H24" s="12"/>
      <c r="I24" s="12"/>
      <c r="J24" s="14">
        <f>Tabelle14[[#This Row],[Spalte3]]*'Preise 2€'!B24</f>
        <v>0</v>
      </c>
    </row>
    <row r="25" spans="1:10" s="3" customFormat="1" ht="18" customHeight="1" x14ac:dyDescent="0.25">
      <c r="A25" s="2" t="s">
        <v>21</v>
      </c>
      <c r="B25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25" s="13"/>
      <c r="D25" s="12"/>
      <c r="E25" s="12"/>
      <c r="F25" s="12"/>
      <c r="G25" s="12"/>
      <c r="H25" s="12"/>
      <c r="I25" s="12"/>
      <c r="J25" s="14">
        <f>Tabelle14[[#This Row],[Spalte3]]*'Preise 2€'!B25</f>
        <v>0</v>
      </c>
    </row>
    <row r="26" spans="1:10" s="3" customFormat="1" ht="18" customHeight="1" x14ac:dyDescent="0.25">
      <c r="A26" s="2" t="s">
        <v>22</v>
      </c>
      <c r="B26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26" s="13"/>
      <c r="D26" s="12"/>
      <c r="E26" s="12"/>
      <c r="F26" s="12"/>
      <c r="G26" s="12"/>
      <c r="H26" s="12"/>
      <c r="I26" s="12"/>
      <c r="J26" s="14">
        <f>Tabelle14[[#This Row],[Spalte3]]*'Preise 2€'!B26</f>
        <v>0</v>
      </c>
    </row>
    <row r="27" spans="1:10" s="3" customFormat="1" ht="18" customHeight="1" x14ac:dyDescent="0.25">
      <c r="A27" s="2" t="s">
        <v>23</v>
      </c>
      <c r="B27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27" s="13"/>
      <c r="D27" s="12"/>
      <c r="E27" s="12"/>
      <c r="F27" s="12"/>
      <c r="G27" s="12"/>
      <c r="H27" s="12"/>
      <c r="I27" s="12"/>
      <c r="J27" s="14">
        <f>Tabelle14[[#This Row],[Spalte3]]*'Preise 2€'!B27</f>
        <v>0</v>
      </c>
    </row>
    <row r="28" spans="1:10" s="3" customFormat="1" ht="18" customHeight="1" x14ac:dyDescent="0.25">
      <c r="A28" s="2" t="s">
        <v>24</v>
      </c>
      <c r="B28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28" s="13"/>
      <c r="D28" s="12"/>
      <c r="E28" s="12"/>
      <c r="F28" s="12"/>
      <c r="G28" s="12"/>
      <c r="H28" s="12"/>
      <c r="I28" s="12"/>
      <c r="J28" s="14">
        <f>Tabelle14[[#This Row],[Spalte3]]*'Preise 2€'!B28</f>
        <v>0</v>
      </c>
    </row>
    <row r="29" spans="1:10" s="3" customFormat="1" ht="18" customHeight="1" x14ac:dyDescent="0.25">
      <c r="A29" s="2" t="s">
        <v>25</v>
      </c>
      <c r="B29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29" s="13"/>
      <c r="D29" s="12"/>
      <c r="E29" s="12"/>
      <c r="F29" s="12"/>
      <c r="G29" s="12"/>
      <c r="H29" s="12"/>
      <c r="I29" s="12"/>
      <c r="J29" s="14">
        <f>Tabelle14[[#This Row],[Spalte3]]*'Preise 2€'!B29</f>
        <v>0</v>
      </c>
    </row>
    <row r="30" spans="1:10" s="3" customFormat="1" ht="18" customHeight="1" x14ac:dyDescent="0.25">
      <c r="A30" s="2" t="s">
        <v>26</v>
      </c>
      <c r="B30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30" s="13"/>
      <c r="D30" s="12"/>
      <c r="E30" s="12"/>
      <c r="F30" s="12"/>
      <c r="G30" s="12"/>
      <c r="H30" s="12"/>
      <c r="I30" s="12"/>
      <c r="J30" s="14">
        <f>Tabelle14[[#This Row],[Spalte3]]*'Preise 2€'!B30</f>
        <v>0</v>
      </c>
    </row>
    <row r="31" spans="1:10" s="3" customFormat="1" ht="18" customHeight="1" x14ac:dyDescent="0.25">
      <c r="A31" s="2" t="s">
        <v>27</v>
      </c>
      <c r="B31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31" s="13"/>
      <c r="D31" s="12"/>
      <c r="E31" s="12"/>
      <c r="F31" s="12"/>
      <c r="G31" s="12"/>
      <c r="H31" s="12"/>
      <c r="I31" s="12"/>
      <c r="J31" s="14">
        <f>Tabelle14[[#This Row],[Spalte3]]*'Preise 2€'!B31</f>
        <v>0</v>
      </c>
    </row>
    <row r="32" spans="1:10" s="3" customFormat="1" ht="18" customHeight="1" x14ac:dyDescent="0.25">
      <c r="A32" s="2" t="s">
        <v>28</v>
      </c>
      <c r="B32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32" s="13"/>
      <c r="D32" s="12"/>
      <c r="E32" s="12"/>
      <c r="F32" s="12"/>
      <c r="G32" s="12"/>
      <c r="H32" s="12"/>
      <c r="I32" s="12"/>
      <c r="J32" s="14">
        <f>Tabelle14[[#This Row],[Spalte3]]*'Preise 2€'!B32</f>
        <v>0</v>
      </c>
    </row>
    <row r="33" spans="1:10" s="3" customFormat="1" ht="18" customHeight="1" x14ac:dyDescent="0.25">
      <c r="A33" s="2" t="s">
        <v>29</v>
      </c>
      <c r="B33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33" s="13"/>
      <c r="D33" s="12"/>
      <c r="E33" s="12"/>
      <c r="F33" s="12"/>
      <c r="G33" s="12"/>
      <c r="H33" s="12"/>
      <c r="I33" s="12"/>
      <c r="J33" s="14">
        <f>Tabelle14[[#This Row],[Spalte3]]*'Preise 2€'!B33</f>
        <v>0</v>
      </c>
    </row>
    <row r="34" spans="1:10" s="3" customFormat="1" ht="18" customHeight="1" x14ac:dyDescent="0.25">
      <c r="A34" s="2" t="s">
        <v>30</v>
      </c>
      <c r="B34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34" s="13"/>
      <c r="D34" s="12"/>
      <c r="E34" s="12"/>
      <c r="F34" s="12"/>
      <c r="G34" s="12"/>
      <c r="H34" s="12"/>
      <c r="I34" s="12"/>
      <c r="J34" s="14">
        <f>Tabelle14[[#This Row],[Spalte3]]*'Preise 2€'!B34</f>
        <v>0</v>
      </c>
    </row>
    <row r="35" spans="1:10" s="3" customFormat="1" ht="18" customHeight="1" x14ac:dyDescent="0.25">
      <c r="A35" s="2" t="s">
        <v>31</v>
      </c>
      <c r="B35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35" s="13"/>
      <c r="D35" s="12"/>
      <c r="E35" s="12"/>
      <c r="F35" s="12"/>
      <c r="G35" s="12"/>
      <c r="H35" s="12"/>
      <c r="I35" s="12"/>
      <c r="J35" s="14">
        <f>Tabelle14[[#This Row],[Spalte3]]*'Preise 2€'!B35</f>
        <v>0</v>
      </c>
    </row>
    <row r="36" spans="1:10" s="3" customFormat="1" ht="18" customHeight="1" x14ac:dyDescent="0.25">
      <c r="A36" s="2" t="s">
        <v>32</v>
      </c>
      <c r="B36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36" s="13"/>
      <c r="D36" s="12"/>
      <c r="E36" s="12"/>
      <c r="F36" s="12"/>
      <c r="G36" s="12"/>
      <c r="H36" s="12"/>
      <c r="I36" s="12"/>
      <c r="J36" s="14">
        <f>Tabelle14[[#This Row],[Spalte3]]*'Preise 2€'!B36</f>
        <v>0</v>
      </c>
    </row>
    <row r="37" spans="1:10" s="3" customFormat="1" ht="18" customHeight="1" x14ac:dyDescent="0.25">
      <c r="A37" s="2" t="s">
        <v>33</v>
      </c>
      <c r="B37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37" s="13"/>
      <c r="D37" s="12"/>
      <c r="E37" s="12"/>
      <c r="F37" s="12"/>
      <c r="G37" s="12"/>
      <c r="H37" s="12"/>
      <c r="I37" s="12"/>
      <c r="J37" s="14">
        <f>Tabelle14[[#This Row],[Spalte3]]*'Preise 2€'!B37</f>
        <v>0</v>
      </c>
    </row>
    <row r="38" spans="1:10" s="3" customFormat="1" ht="18" customHeight="1" x14ac:dyDescent="0.25">
      <c r="A38" s="2" t="s">
        <v>34</v>
      </c>
      <c r="B38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38" s="13"/>
      <c r="D38" s="12"/>
      <c r="E38" s="12"/>
      <c r="F38" s="12"/>
      <c r="G38" s="12"/>
      <c r="H38" s="12"/>
      <c r="I38" s="12"/>
      <c r="J38" s="14">
        <f>Tabelle14[[#This Row],[Spalte3]]*'Preise 2€'!B38</f>
        <v>0</v>
      </c>
    </row>
    <row r="39" spans="1:10" s="3" customFormat="1" ht="18" customHeight="1" x14ac:dyDescent="0.25">
      <c r="A39" s="2" t="s">
        <v>35</v>
      </c>
      <c r="B39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39" s="13"/>
      <c r="D39" s="12"/>
      <c r="E39" s="12"/>
      <c r="F39" s="12"/>
      <c r="G39" s="12"/>
      <c r="H39" s="12"/>
      <c r="I39" s="12"/>
      <c r="J39" s="14">
        <f>Tabelle14[[#This Row],[Spalte3]]*'Preise 2€'!B39</f>
        <v>0</v>
      </c>
    </row>
    <row r="40" spans="1:10" s="3" customFormat="1" ht="18" customHeight="1" x14ac:dyDescent="0.25">
      <c r="A40" s="2" t="s">
        <v>36</v>
      </c>
      <c r="B40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40" s="13"/>
      <c r="D40" s="12"/>
      <c r="E40" s="12"/>
      <c r="F40" s="12"/>
      <c r="G40" s="12"/>
      <c r="H40" s="12"/>
      <c r="I40" s="12"/>
      <c r="J40" s="14">
        <f>Tabelle14[[#This Row],[Spalte3]]*'Preise 2€'!B40</f>
        <v>0</v>
      </c>
    </row>
    <row r="41" spans="1:10" s="3" customFormat="1" ht="18" customHeight="1" x14ac:dyDescent="0.25">
      <c r="A41" s="2" t="s">
        <v>37</v>
      </c>
      <c r="B41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41" s="13"/>
      <c r="D41" s="12"/>
      <c r="E41" s="12"/>
      <c r="F41" s="12"/>
      <c r="G41" s="12"/>
      <c r="H41" s="12"/>
      <c r="I41" s="12"/>
      <c r="J41" s="14">
        <f>Tabelle14[[#This Row],[Spalte3]]*'Preise 2€'!B41</f>
        <v>0</v>
      </c>
    </row>
    <row r="42" spans="1:10" s="3" customFormat="1" ht="18" customHeight="1" x14ac:dyDescent="0.25">
      <c r="A42" s="2" t="s">
        <v>38</v>
      </c>
      <c r="B42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42" s="13"/>
      <c r="D42" s="12"/>
      <c r="E42" s="12"/>
      <c r="F42" s="12"/>
      <c r="G42" s="12"/>
      <c r="H42" s="12"/>
      <c r="I42" s="12"/>
      <c r="J42" s="14">
        <f>Tabelle14[[#This Row],[Spalte3]]*'Preise 2€'!B42</f>
        <v>0</v>
      </c>
    </row>
    <row r="43" spans="1:10" s="3" customFormat="1" ht="18" customHeight="1" x14ac:dyDescent="0.25">
      <c r="A43" s="2" t="s">
        <v>39</v>
      </c>
      <c r="B43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43" s="13"/>
      <c r="D43" s="12"/>
      <c r="E43" s="12"/>
      <c r="F43" s="12"/>
      <c r="G43" s="12"/>
      <c r="H43" s="12"/>
      <c r="I43" s="12"/>
      <c r="J43" s="14">
        <f>Tabelle14[[#This Row],[Spalte3]]*'Preise 2€'!B43</f>
        <v>0</v>
      </c>
    </row>
    <row r="44" spans="1:10" ht="18" customHeight="1" x14ac:dyDescent="0.2">
      <c r="A44" s="2" t="s">
        <v>40</v>
      </c>
      <c r="B44" s="12">
        <f>Tabelle14[[#This Row],[Spalte3]]+Tabelle14[[#This Row],[Spalte4]]+Tabelle14[[#This Row],[Spalte5]]+Tabelle14[[#This Row],[Spalte6]]+Tabelle14[[#This Row],[Spalte7]]+Tabelle14[[#This Row],[Spalte8]]+Tabelle14[[#This Row],[Spalte9]]</f>
        <v>0</v>
      </c>
      <c r="C44" s="13"/>
      <c r="D44" s="12"/>
      <c r="E44" s="12"/>
      <c r="F44" s="12"/>
      <c r="G44" s="12"/>
      <c r="H44" s="12"/>
      <c r="I44" s="12"/>
      <c r="J44" s="14">
        <f>Tabelle14[[#This Row],[Spalte3]]*'Preise 2€'!B44</f>
        <v>0</v>
      </c>
    </row>
    <row r="45" spans="1:10" ht="18.7" customHeight="1" x14ac:dyDescent="0.2">
      <c r="A45" s="4"/>
      <c r="C45" s="16" t="s">
        <v>54</v>
      </c>
      <c r="D45" s="16"/>
      <c r="E45" s="17"/>
      <c r="F45" s="17"/>
      <c r="G45" s="16" t="s">
        <v>53</v>
      </c>
      <c r="H45" s="16"/>
      <c r="I45" s="18">
        <f>SUM(J2:J45)</f>
        <v>0</v>
      </c>
      <c r="J45" s="18"/>
    </row>
    <row r="46" spans="1:10" ht="18.7" customHeight="1" x14ac:dyDescent="0.2">
      <c r="A46" s="19"/>
      <c r="B46" s="19"/>
      <c r="C46" s="16" t="s">
        <v>55</v>
      </c>
      <c r="D46" s="16"/>
      <c r="E46" s="16">
        <f>E45-I45</f>
        <v>0</v>
      </c>
      <c r="F46" s="16"/>
    </row>
    <row r="47" spans="1:10" ht="18.7" customHeight="1" x14ac:dyDescent="0.2">
      <c r="A47" s="4"/>
    </row>
    <row r="48" spans="1:10" ht="18.7" customHeight="1" x14ac:dyDescent="0.2">
      <c r="A48" s="4"/>
    </row>
    <row r="49" spans="1:1" ht="18.7" customHeight="1" x14ac:dyDescent="0.2">
      <c r="A49" s="4"/>
    </row>
    <row r="50" spans="1:1" ht="18.7" customHeight="1" x14ac:dyDescent="0.2">
      <c r="A50" s="4"/>
    </row>
    <row r="51" spans="1:1" ht="18.7" customHeight="1" x14ac:dyDescent="0.2">
      <c r="A51" s="4"/>
    </row>
    <row r="52" spans="1:1" ht="18.7" customHeight="1" x14ac:dyDescent="0.2">
      <c r="A52" s="4"/>
    </row>
    <row r="53" spans="1:1" ht="18.7" customHeight="1" x14ac:dyDescent="0.2">
      <c r="A53" s="4"/>
    </row>
    <row r="54" spans="1:1" ht="18.7" customHeight="1" x14ac:dyDescent="0.2">
      <c r="A54" s="4"/>
    </row>
    <row r="55" spans="1:1" ht="18.7" customHeight="1" x14ac:dyDescent="0.2">
      <c r="A55" s="4"/>
    </row>
    <row r="56" spans="1:1" ht="18.7" customHeight="1" x14ac:dyDescent="0.2">
      <c r="A56" s="4"/>
    </row>
    <row r="57" spans="1:1" ht="18.7" customHeight="1" x14ac:dyDescent="0.2">
      <c r="A57" s="4"/>
    </row>
    <row r="58" spans="1:1" ht="18.7" customHeight="1" x14ac:dyDescent="0.2">
      <c r="A58" s="4"/>
    </row>
    <row r="59" spans="1:1" ht="18.7" customHeight="1" x14ac:dyDescent="0.2">
      <c r="A59" s="4"/>
    </row>
    <row r="60" spans="1:1" ht="18.7" customHeight="1" x14ac:dyDescent="0.2">
      <c r="A60" s="4"/>
    </row>
    <row r="61" spans="1:1" ht="18.7" customHeight="1" x14ac:dyDescent="0.2">
      <c r="A61" s="4"/>
    </row>
    <row r="62" spans="1:1" ht="18.7" customHeight="1" x14ac:dyDescent="0.2">
      <c r="A62" s="4"/>
    </row>
    <row r="63" spans="1:1" ht="18.7" customHeight="1" x14ac:dyDescent="0.2">
      <c r="A63" s="4"/>
    </row>
    <row r="64" spans="1:1" ht="18.7" customHeight="1" x14ac:dyDescent="0.2">
      <c r="A64" s="4"/>
    </row>
    <row r="65" spans="1:1" ht="18.7" customHeight="1" x14ac:dyDescent="0.2">
      <c r="A65" s="4"/>
    </row>
    <row r="66" spans="1:1" ht="18.7" customHeight="1" x14ac:dyDescent="0.2">
      <c r="A66" s="4"/>
    </row>
    <row r="67" spans="1:1" ht="18.7" customHeight="1" x14ac:dyDescent="0.2">
      <c r="A67" s="4"/>
    </row>
    <row r="68" spans="1:1" ht="18.7" customHeight="1" x14ac:dyDescent="0.2">
      <c r="A68" s="4"/>
    </row>
    <row r="69" spans="1:1" ht="18.7" customHeight="1" x14ac:dyDescent="0.2">
      <c r="A69" s="4"/>
    </row>
    <row r="70" spans="1:1" ht="18.7" customHeight="1" x14ac:dyDescent="0.2">
      <c r="A70" s="4"/>
    </row>
    <row r="71" spans="1:1" ht="18.7" customHeight="1" x14ac:dyDescent="0.2">
      <c r="A71" s="4"/>
    </row>
    <row r="72" spans="1:1" ht="18.7" customHeight="1" x14ac:dyDescent="0.2">
      <c r="A72" s="4"/>
    </row>
    <row r="73" spans="1:1" ht="18.7" customHeight="1" x14ac:dyDescent="0.2">
      <c r="A73" s="4"/>
    </row>
    <row r="74" spans="1:1" ht="18.7" customHeight="1" x14ac:dyDescent="0.2">
      <c r="A74" s="4"/>
    </row>
    <row r="75" spans="1:1" ht="18.7" customHeight="1" x14ac:dyDescent="0.2">
      <c r="A75" s="4"/>
    </row>
    <row r="76" spans="1:1" ht="18.7" customHeight="1" x14ac:dyDescent="0.2">
      <c r="A76" s="4"/>
    </row>
    <row r="77" spans="1:1" ht="18.7" customHeight="1" x14ac:dyDescent="0.2">
      <c r="A77" s="4"/>
    </row>
    <row r="78" spans="1:1" ht="18.7" customHeight="1" x14ac:dyDescent="0.2">
      <c r="A78" s="4"/>
    </row>
    <row r="79" spans="1:1" ht="18.7" customHeight="1" x14ac:dyDescent="0.2">
      <c r="A79" s="4"/>
    </row>
    <row r="80" spans="1:1" ht="18.7" customHeight="1" x14ac:dyDescent="0.2">
      <c r="A80" s="4"/>
    </row>
    <row r="81" spans="1:1" ht="18.7" customHeight="1" x14ac:dyDescent="0.2">
      <c r="A81" s="4"/>
    </row>
  </sheetData>
  <mergeCells count="7">
    <mergeCell ref="A46:B46"/>
    <mergeCell ref="E45:F45"/>
    <mergeCell ref="C46:D46"/>
    <mergeCell ref="I45:J45"/>
    <mergeCell ref="G45:H45"/>
    <mergeCell ref="C45:D45"/>
    <mergeCell ref="E46:F46"/>
  </mergeCells>
  <conditionalFormatting sqref="E46:F46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22916666666666666" right="0.23958333333333334" top="0.28125" bottom="0.32291666666666669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99DC-3C57-4DCD-8142-FFD065012D89}">
  <dimension ref="A1:B44"/>
  <sheetViews>
    <sheetView topLeftCell="A9" workbookViewId="0">
      <selection activeCell="B44" sqref="B44"/>
    </sheetView>
  </sheetViews>
  <sheetFormatPr baseColWidth="10" defaultColWidth="10.75" defaultRowHeight="14.3" x14ac:dyDescent="0.25"/>
  <cols>
    <col min="1" max="1" width="23.125" customWidth="1"/>
    <col min="2" max="2" width="13.5" customWidth="1"/>
  </cols>
  <sheetData>
    <row r="1" spans="1:2" x14ac:dyDescent="0.25">
      <c r="A1" s="9" t="s">
        <v>51</v>
      </c>
      <c r="B1" s="10" t="s">
        <v>52</v>
      </c>
    </row>
    <row r="2" spans="1:2" x14ac:dyDescent="0.25">
      <c r="A2" s="7" t="s">
        <v>0</v>
      </c>
      <c r="B2" s="15">
        <v>3.8</v>
      </c>
    </row>
    <row r="3" spans="1:2" x14ac:dyDescent="0.25">
      <c r="A3" s="8" t="s">
        <v>1</v>
      </c>
      <c r="B3" s="15">
        <v>4.2</v>
      </c>
    </row>
    <row r="4" spans="1:2" x14ac:dyDescent="0.25">
      <c r="A4" s="7" t="s">
        <v>2</v>
      </c>
      <c r="B4" s="15">
        <v>3.3</v>
      </c>
    </row>
    <row r="5" spans="1:2" x14ac:dyDescent="0.25">
      <c r="A5" s="8" t="s">
        <v>3</v>
      </c>
      <c r="B5" s="15">
        <v>4.2</v>
      </c>
    </row>
    <row r="6" spans="1:2" x14ac:dyDescent="0.25">
      <c r="A6" s="7" t="s">
        <v>4</v>
      </c>
      <c r="B6" s="15">
        <v>4.8</v>
      </c>
    </row>
    <row r="7" spans="1:2" x14ac:dyDescent="0.25">
      <c r="A7" s="8" t="s">
        <v>5</v>
      </c>
      <c r="B7" s="15">
        <v>4.8</v>
      </c>
    </row>
    <row r="8" spans="1:2" x14ac:dyDescent="0.25">
      <c r="A8" s="7" t="s">
        <v>6</v>
      </c>
      <c r="B8" s="15">
        <v>4.8</v>
      </c>
    </row>
    <row r="9" spans="1:2" x14ac:dyDescent="0.25">
      <c r="A9" s="8" t="s">
        <v>7</v>
      </c>
      <c r="B9" s="15">
        <v>3.3</v>
      </c>
    </row>
    <row r="10" spans="1:2" x14ac:dyDescent="0.25">
      <c r="A10" s="7" t="s">
        <v>8</v>
      </c>
      <c r="B10" s="15">
        <v>3.8</v>
      </c>
    </row>
    <row r="11" spans="1:2" x14ac:dyDescent="0.25">
      <c r="A11" s="8" t="s">
        <v>9</v>
      </c>
      <c r="B11" s="15">
        <v>3.8</v>
      </c>
    </row>
    <row r="12" spans="1:2" x14ac:dyDescent="0.25">
      <c r="A12" s="7" t="s">
        <v>10</v>
      </c>
      <c r="B12" s="15">
        <v>3.8</v>
      </c>
    </row>
    <row r="13" spans="1:2" x14ac:dyDescent="0.25">
      <c r="A13" s="8" t="s">
        <v>11</v>
      </c>
      <c r="B13" s="15">
        <v>3.7</v>
      </c>
    </row>
    <row r="14" spans="1:2" x14ac:dyDescent="0.25">
      <c r="A14" s="8" t="s">
        <v>56</v>
      </c>
      <c r="B14" s="15">
        <v>3.9</v>
      </c>
    </row>
    <row r="15" spans="1:2" x14ac:dyDescent="0.25">
      <c r="A15" s="8" t="s">
        <v>57</v>
      </c>
      <c r="B15" s="15">
        <v>3.9</v>
      </c>
    </row>
    <row r="16" spans="1:2" x14ac:dyDescent="0.25">
      <c r="A16" s="7" t="s">
        <v>12</v>
      </c>
      <c r="B16" s="15">
        <v>3.5</v>
      </c>
    </row>
    <row r="17" spans="1:2" x14ac:dyDescent="0.25">
      <c r="A17" s="8" t="s">
        <v>13</v>
      </c>
      <c r="B17" s="15">
        <v>1.9</v>
      </c>
    </row>
    <row r="18" spans="1:2" x14ac:dyDescent="0.25">
      <c r="A18" s="7" t="s">
        <v>14</v>
      </c>
      <c r="B18" s="15">
        <v>2.7</v>
      </c>
    </row>
    <row r="19" spans="1:2" x14ac:dyDescent="0.25">
      <c r="A19" s="8" t="s">
        <v>15</v>
      </c>
      <c r="B19" s="15">
        <v>3</v>
      </c>
    </row>
    <row r="20" spans="1:2" x14ac:dyDescent="0.25">
      <c r="A20" s="7" t="s">
        <v>16</v>
      </c>
      <c r="B20" s="15">
        <v>2.9</v>
      </c>
    </row>
    <row r="21" spans="1:2" x14ac:dyDescent="0.25">
      <c r="A21" s="8" t="s">
        <v>17</v>
      </c>
      <c r="B21" s="15">
        <v>3.7</v>
      </c>
    </row>
    <row r="22" spans="1:2" x14ac:dyDescent="0.25">
      <c r="A22" s="7" t="s">
        <v>18</v>
      </c>
      <c r="B22" s="15">
        <v>3.9</v>
      </c>
    </row>
    <row r="23" spans="1:2" x14ac:dyDescent="0.25">
      <c r="A23" s="8" t="s">
        <v>19</v>
      </c>
      <c r="B23" s="15">
        <v>3.9</v>
      </c>
    </row>
    <row r="24" spans="1:2" x14ac:dyDescent="0.25">
      <c r="A24" s="7" t="s">
        <v>20</v>
      </c>
      <c r="B24" s="15">
        <v>3.9</v>
      </c>
    </row>
    <row r="25" spans="1:2" x14ac:dyDescent="0.25">
      <c r="A25" s="8" t="s">
        <v>21</v>
      </c>
      <c r="B25" s="15">
        <v>3</v>
      </c>
    </row>
    <row r="26" spans="1:2" x14ac:dyDescent="0.25">
      <c r="A26" s="7" t="s">
        <v>22</v>
      </c>
      <c r="B26" s="15">
        <v>3</v>
      </c>
    </row>
    <row r="27" spans="1:2" x14ac:dyDescent="0.25">
      <c r="A27" s="8" t="s">
        <v>23</v>
      </c>
      <c r="B27" s="15">
        <v>2.9</v>
      </c>
    </row>
    <row r="28" spans="1:2" x14ac:dyDescent="0.25">
      <c r="A28" s="7" t="s">
        <v>24</v>
      </c>
      <c r="B28" s="15">
        <v>2.9</v>
      </c>
    </row>
    <row r="29" spans="1:2" x14ac:dyDescent="0.25">
      <c r="A29" s="8" t="s">
        <v>25</v>
      </c>
      <c r="B29" s="15">
        <v>1.7</v>
      </c>
    </row>
    <row r="30" spans="1:2" x14ac:dyDescent="0.25">
      <c r="A30" s="7" t="s">
        <v>26</v>
      </c>
      <c r="B30" s="15">
        <v>24</v>
      </c>
    </row>
    <row r="31" spans="1:2" x14ac:dyDescent="0.25">
      <c r="A31" s="8" t="s">
        <v>27</v>
      </c>
      <c r="B31" s="15">
        <v>15</v>
      </c>
    </row>
    <row r="32" spans="1:2" x14ac:dyDescent="0.25">
      <c r="A32" s="7" t="s">
        <v>28</v>
      </c>
      <c r="B32" s="15">
        <v>4.8</v>
      </c>
    </row>
    <row r="33" spans="1:2" x14ac:dyDescent="0.25">
      <c r="A33" s="8" t="s">
        <v>29</v>
      </c>
      <c r="B33" s="15">
        <v>5.8</v>
      </c>
    </row>
    <row r="34" spans="1:2" x14ac:dyDescent="0.25">
      <c r="A34" s="7" t="s">
        <v>30</v>
      </c>
      <c r="B34" s="15">
        <v>4.2</v>
      </c>
    </row>
    <row r="35" spans="1:2" x14ac:dyDescent="0.25">
      <c r="A35" s="8" t="s">
        <v>31</v>
      </c>
      <c r="B35" s="15">
        <v>4.9000000000000004</v>
      </c>
    </row>
    <row r="36" spans="1:2" x14ac:dyDescent="0.25">
      <c r="A36" s="7" t="s">
        <v>32</v>
      </c>
      <c r="B36" s="15">
        <v>2.4</v>
      </c>
    </row>
    <row r="37" spans="1:2" x14ac:dyDescent="0.25">
      <c r="A37" s="8" t="s">
        <v>33</v>
      </c>
      <c r="B37" s="15">
        <v>3.5</v>
      </c>
    </row>
    <row r="38" spans="1:2" x14ac:dyDescent="0.25">
      <c r="A38" s="7" t="s">
        <v>34</v>
      </c>
      <c r="B38" s="15">
        <v>3.8</v>
      </c>
    </row>
    <row r="39" spans="1:2" x14ac:dyDescent="0.25">
      <c r="A39" s="8" t="s">
        <v>35</v>
      </c>
      <c r="B39" s="15">
        <v>4.5</v>
      </c>
    </row>
    <row r="40" spans="1:2" x14ac:dyDescent="0.25">
      <c r="A40" s="7" t="s">
        <v>36</v>
      </c>
      <c r="B40" s="15">
        <v>3.5</v>
      </c>
    </row>
    <row r="41" spans="1:2" x14ac:dyDescent="0.25">
      <c r="A41" s="8" t="s">
        <v>37</v>
      </c>
      <c r="B41" s="15">
        <v>3.5</v>
      </c>
    </row>
    <row r="42" spans="1:2" x14ac:dyDescent="0.25">
      <c r="A42" s="7" t="s">
        <v>38</v>
      </c>
      <c r="B42" s="15">
        <v>1.4</v>
      </c>
    </row>
    <row r="43" spans="1:2" x14ac:dyDescent="0.25">
      <c r="A43" s="8" t="s">
        <v>39</v>
      </c>
      <c r="B43" s="15">
        <v>1.2</v>
      </c>
    </row>
    <row r="44" spans="1:2" x14ac:dyDescent="0.25">
      <c r="A44" s="7" t="s">
        <v>40</v>
      </c>
      <c r="B44" s="15">
        <v>1.5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D4286-F21F-45E9-8F8E-C34F682843A9}">
  <dimension ref="A1:B44"/>
  <sheetViews>
    <sheetView topLeftCell="A9" workbookViewId="0">
      <selection activeCell="B44" sqref="B44"/>
    </sheetView>
  </sheetViews>
  <sheetFormatPr baseColWidth="10" defaultColWidth="10.75" defaultRowHeight="14.3" x14ac:dyDescent="0.25"/>
  <cols>
    <col min="1" max="1" width="23.125" customWidth="1"/>
    <col min="2" max="2" width="13.5" customWidth="1"/>
  </cols>
  <sheetData>
    <row r="1" spans="1:2" x14ac:dyDescent="0.25">
      <c r="A1" s="9" t="s">
        <v>51</v>
      </c>
      <c r="B1" s="10" t="s">
        <v>52</v>
      </c>
    </row>
    <row r="2" spans="1:2" x14ac:dyDescent="0.25">
      <c r="A2" s="7" t="s">
        <v>0</v>
      </c>
      <c r="B2" s="15">
        <v>2</v>
      </c>
    </row>
    <row r="3" spans="1:2" x14ac:dyDescent="0.25">
      <c r="A3" s="8" t="s">
        <v>1</v>
      </c>
      <c r="B3" s="15">
        <v>2</v>
      </c>
    </row>
    <row r="4" spans="1:2" x14ac:dyDescent="0.25">
      <c r="A4" s="7" t="s">
        <v>2</v>
      </c>
      <c r="B4" s="15">
        <v>2</v>
      </c>
    </row>
    <row r="5" spans="1:2" x14ac:dyDescent="0.25">
      <c r="A5" s="8" t="s">
        <v>3</v>
      </c>
      <c r="B5" s="15">
        <v>2</v>
      </c>
    </row>
    <row r="6" spans="1:2" x14ac:dyDescent="0.25">
      <c r="A6" s="7" t="s">
        <v>4</v>
      </c>
      <c r="B6" s="15">
        <v>2</v>
      </c>
    </row>
    <row r="7" spans="1:2" x14ac:dyDescent="0.25">
      <c r="A7" s="8" t="s">
        <v>5</v>
      </c>
      <c r="B7" s="15">
        <v>2</v>
      </c>
    </row>
    <row r="8" spans="1:2" x14ac:dyDescent="0.25">
      <c r="A8" s="7" t="s">
        <v>6</v>
      </c>
      <c r="B8" s="15">
        <v>2</v>
      </c>
    </row>
    <row r="9" spans="1:2" x14ac:dyDescent="0.25">
      <c r="A9" s="8" t="s">
        <v>7</v>
      </c>
      <c r="B9" s="15">
        <v>2</v>
      </c>
    </row>
    <row r="10" spans="1:2" x14ac:dyDescent="0.25">
      <c r="A10" s="7" t="s">
        <v>8</v>
      </c>
      <c r="B10" s="15">
        <v>2</v>
      </c>
    </row>
    <row r="11" spans="1:2" x14ac:dyDescent="0.25">
      <c r="A11" s="8" t="s">
        <v>9</v>
      </c>
      <c r="B11" s="15">
        <v>2</v>
      </c>
    </row>
    <row r="12" spans="1:2" x14ac:dyDescent="0.25">
      <c r="A12" s="7" t="s">
        <v>10</v>
      </c>
      <c r="B12" s="15">
        <v>2</v>
      </c>
    </row>
    <row r="13" spans="1:2" x14ac:dyDescent="0.25">
      <c r="A13" s="8" t="s">
        <v>11</v>
      </c>
      <c r="B13" s="15">
        <v>2</v>
      </c>
    </row>
    <row r="14" spans="1:2" x14ac:dyDescent="0.25">
      <c r="A14" s="8" t="s">
        <v>56</v>
      </c>
      <c r="B14" s="15">
        <v>2</v>
      </c>
    </row>
    <row r="15" spans="1:2" x14ac:dyDescent="0.25">
      <c r="A15" s="8" t="s">
        <v>57</v>
      </c>
      <c r="B15" s="15">
        <v>2</v>
      </c>
    </row>
    <row r="16" spans="1:2" x14ac:dyDescent="0.25">
      <c r="A16" s="7" t="s">
        <v>12</v>
      </c>
      <c r="B16" s="15">
        <v>2</v>
      </c>
    </row>
    <row r="17" spans="1:2" x14ac:dyDescent="0.25">
      <c r="A17" s="8" t="s">
        <v>13</v>
      </c>
      <c r="B17" s="15">
        <v>1.9</v>
      </c>
    </row>
    <row r="18" spans="1:2" x14ac:dyDescent="0.25">
      <c r="A18" s="7" t="s">
        <v>14</v>
      </c>
      <c r="B18" s="15">
        <v>2</v>
      </c>
    </row>
    <row r="19" spans="1:2" x14ac:dyDescent="0.25">
      <c r="A19" s="8" t="s">
        <v>15</v>
      </c>
      <c r="B19" s="15">
        <v>2</v>
      </c>
    </row>
    <row r="20" spans="1:2" x14ac:dyDescent="0.25">
      <c r="A20" s="7" t="s">
        <v>16</v>
      </c>
      <c r="B20" s="15">
        <v>2</v>
      </c>
    </row>
    <row r="21" spans="1:2" x14ac:dyDescent="0.25">
      <c r="A21" s="8" t="s">
        <v>17</v>
      </c>
      <c r="B21" s="15">
        <v>2</v>
      </c>
    </row>
    <row r="22" spans="1:2" x14ac:dyDescent="0.25">
      <c r="A22" s="7" t="s">
        <v>18</v>
      </c>
      <c r="B22" s="15">
        <v>2</v>
      </c>
    </row>
    <row r="23" spans="1:2" x14ac:dyDescent="0.25">
      <c r="A23" s="8" t="s">
        <v>19</v>
      </c>
      <c r="B23" s="15">
        <v>2</v>
      </c>
    </row>
    <row r="24" spans="1:2" x14ac:dyDescent="0.25">
      <c r="A24" s="7" t="s">
        <v>20</v>
      </c>
      <c r="B24" s="15">
        <v>2</v>
      </c>
    </row>
    <row r="25" spans="1:2" x14ac:dyDescent="0.25">
      <c r="A25" s="8" t="s">
        <v>21</v>
      </c>
      <c r="B25" s="15">
        <v>2</v>
      </c>
    </row>
    <row r="26" spans="1:2" x14ac:dyDescent="0.25">
      <c r="A26" s="7" t="s">
        <v>22</v>
      </c>
      <c r="B26" s="15">
        <v>2</v>
      </c>
    </row>
    <row r="27" spans="1:2" x14ac:dyDescent="0.25">
      <c r="A27" s="8" t="s">
        <v>23</v>
      </c>
      <c r="B27" s="15">
        <v>2</v>
      </c>
    </row>
    <row r="28" spans="1:2" x14ac:dyDescent="0.25">
      <c r="A28" s="7" t="s">
        <v>24</v>
      </c>
      <c r="B28" s="15">
        <v>2</v>
      </c>
    </row>
    <row r="29" spans="1:2" x14ac:dyDescent="0.25">
      <c r="A29" s="8" t="s">
        <v>25</v>
      </c>
      <c r="B29" s="15">
        <v>1.7</v>
      </c>
    </row>
    <row r="30" spans="1:2" x14ac:dyDescent="0.25">
      <c r="A30" s="7" t="s">
        <v>26</v>
      </c>
      <c r="B30" s="15">
        <v>24</v>
      </c>
    </row>
    <row r="31" spans="1:2" x14ac:dyDescent="0.25">
      <c r="A31" s="8" t="s">
        <v>27</v>
      </c>
      <c r="B31" s="15">
        <v>15</v>
      </c>
    </row>
    <row r="32" spans="1:2" x14ac:dyDescent="0.25">
      <c r="A32" s="7" t="s">
        <v>28</v>
      </c>
      <c r="B32" s="15">
        <v>4.8</v>
      </c>
    </row>
    <row r="33" spans="1:2" x14ac:dyDescent="0.25">
      <c r="A33" s="8" t="s">
        <v>29</v>
      </c>
      <c r="B33" s="15">
        <v>5.8</v>
      </c>
    </row>
    <row r="34" spans="1:2" x14ac:dyDescent="0.25">
      <c r="A34" s="7" t="s">
        <v>30</v>
      </c>
      <c r="B34" s="15">
        <v>4.2</v>
      </c>
    </row>
    <row r="35" spans="1:2" x14ac:dyDescent="0.25">
      <c r="A35" s="8" t="s">
        <v>31</v>
      </c>
      <c r="B35" s="15">
        <v>4.9000000000000004</v>
      </c>
    </row>
    <row r="36" spans="1:2" x14ac:dyDescent="0.25">
      <c r="A36" s="7" t="s">
        <v>32</v>
      </c>
      <c r="B36" s="15">
        <v>2.4</v>
      </c>
    </row>
    <row r="37" spans="1:2" x14ac:dyDescent="0.25">
      <c r="A37" s="8" t="s">
        <v>33</v>
      </c>
      <c r="B37" s="15">
        <v>3.5</v>
      </c>
    </row>
    <row r="38" spans="1:2" x14ac:dyDescent="0.25">
      <c r="A38" s="7" t="s">
        <v>34</v>
      </c>
      <c r="B38" s="15">
        <v>3.8</v>
      </c>
    </row>
    <row r="39" spans="1:2" x14ac:dyDescent="0.25">
      <c r="A39" s="8" t="s">
        <v>35</v>
      </c>
      <c r="B39" s="15">
        <v>4.5</v>
      </c>
    </row>
    <row r="40" spans="1:2" x14ac:dyDescent="0.25">
      <c r="A40" s="7" t="s">
        <v>36</v>
      </c>
      <c r="B40" s="15">
        <v>3.5</v>
      </c>
    </row>
    <row r="41" spans="1:2" x14ac:dyDescent="0.25">
      <c r="A41" s="8" t="s">
        <v>37</v>
      </c>
      <c r="B41" s="15">
        <v>3.5</v>
      </c>
    </row>
    <row r="42" spans="1:2" x14ac:dyDescent="0.25">
      <c r="A42" s="7" t="s">
        <v>38</v>
      </c>
      <c r="B42" s="15">
        <v>1.4</v>
      </c>
    </row>
    <row r="43" spans="1:2" x14ac:dyDescent="0.25">
      <c r="A43" s="8" t="s">
        <v>39</v>
      </c>
      <c r="B43" s="15">
        <v>1.2</v>
      </c>
    </row>
    <row r="44" spans="1:2" x14ac:dyDescent="0.25">
      <c r="A44" s="7" t="s">
        <v>40</v>
      </c>
      <c r="B44" s="15">
        <v>1.5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Erster Tag (2€)</vt:lpstr>
      <vt:lpstr>Vorlage normal</vt:lpstr>
      <vt:lpstr>Vorlage 2€</vt:lpstr>
      <vt:lpstr>Preise normal</vt:lpstr>
      <vt:lpstr>Preise 2€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</dc:creator>
  <cp:lastModifiedBy>Tobias Bürgstein</cp:lastModifiedBy>
  <cp:lastPrinted>2021-11-27T23:09:58Z</cp:lastPrinted>
  <dcterms:created xsi:type="dcterms:W3CDTF">2021-11-27T22:12:58Z</dcterms:created>
  <dcterms:modified xsi:type="dcterms:W3CDTF">2026-07-05T06:03:11Z</dcterms:modified>
</cp:coreProperties>
</file>